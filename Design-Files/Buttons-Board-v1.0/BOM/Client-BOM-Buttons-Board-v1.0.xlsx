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simonlore-voiceassistant\Design-Files\Buttons-Board-v1.0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K19" i="1" l="1"/>
  <c r="B19" i="1"/>
  <c r="K18" i="1"/>
  <c r="B18" i="1"/>
  <c r="K17" i="1"/>
  <c r="B17" i="1"/>
  <c r="K16" i="1"/>
  <c r="B16" i="1"/>
  <c r="K15" i="1"/>
  <c r="B15" i="1"/>
  <c r="K14" i="1"/>
  <c r="B14" i="1"/>
  <c r="K13" i="1"/>
  <c r="B13" i="1"/>
  <c r="K12" i="1"/>
  <c r="B12" i="1"/>
  <c r="K11" i="1" l="1"/>
  <c r="K10" i="1"/>
  <c r="B11" i="1"/>
  <c r="B10" i="1"/>
</calcChain>
</file>

<file path=xl/sharedStrings.xml><?xml version="1.0" encoding="utf-8"?>
<sst xmlns="http://schemas.openxmlformats.org/spreadsheetml/2006/main" count="90" uniqueCount="72">
  <si>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</si>
  <si>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</si>
  <si>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</si>
  <si>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</si>
  <si>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</si>
  <si>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</si>
  <si>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</si>
  <si>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</si>
  <si>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Diode</t>
  </si>
  <si>
    <t>Board / Wire To Wire Connector</t>
  </si>
  <si>
    <t>LED</t>
  </si>
  <si>
    <t>Resistor</t>
  </si>
  <si>
    <t>Tactile Switch</t>
  </si>
  <si>
    <t>Designator</t>
  </si>
  <si>
    <t>C1</t>
  </si>
  <si>
    <t>C2</t>
  </si>
  <si>
    <t>D1, D2, D3, D4, D5, D6, D7, D8, D9, D10, D11, D12</t>
  </si>
  <si>
    <t>J1, J2, J3</t>
  </si>
  <si>
    <t>LED1</t>
  </si>
  <si>
    <t>LED2, LED3, LED4, LED5, LED6, LED7, LED8, LED9, LED10, LED11, LED12, LED13, LED14, LED15, LED16, LED17</t>
  </si>
  <si>
    <t>R1</t>
  </si>
  <si>
    <t>R2, R3, R4, R5, R6, R7, R8, R9, R10, R11, R12, R13, R14, R15, R16, R17</t>
  </si>
  <si>
    <t>SW1</t>
  </si>
  <si>
    <t>SW2, SW3, SW4, SW5, SW6, SW7, SW8, SW9, SW10, SW11, SW12, SW13</t>
  </si>
  <si>
    <t>Description</t>
  </si>
  <si>
    <t>CAP CER 10UF 16V X5R 0603</t>
  </si>
  <si>
    <t>CAP CER 0.1UF 16V X5R 0402</t>
  </si>
  <si>
    <t>DIODE GEN PURP 75V 150MA SOD323</t>
  </si>
  <si>
    <t>1x9P 1 Tin 1mm male 9 260℃ -25℃~+85℃ Brass 1A Surface Mount SMD,P=1mm Wire To Board / Wire To Wire Connector ROHS</t>
  </si>
  <si>
    <t>RED LED 0603 Light Emitting Diodes</t>
  </si>
  <si>
    <t>blue 0603 Light Emitting Diodes (LED) ROHS</t>
  </si>
  <si>
    <t>RES 1K OHM 1% 1/16W 0402</t>
  </si>
  <si>
    <t>RES 33 OHM 1% 1/20W 0201</t>
  </si>
  <si>
    <t>SWITCH TACTILE SPST-NO 0.05A 12V</t>
  </si>
  <si>
    <t>No NO 50mA 100000 Times 160gf 12V Brick nogging SPST SMD Tactile Switches ROHS</t>
  </si>
  <si>
    <t>Footprint</t>
  </si>
  <si>
    <t>Cap-0603</t>
  </si>
  <si>
    <t>Cap-0402</t>
  </si>
  <si>
    <t>SOD-323</t>
  </si>
  <si>
    <t>X1002WRS-09E-LPSWHF</t>
  </si>
  <si>
    <t>LED-0603</t>
  </si>
  <si>
    <t>Res-0402</t>
  </si>
  <si>
    <t>Res-0201</t>
  </si>
  <si>
    <t>TS-1109S-B-B</t>
  </si>
  <si>
    <t>Manufacturer Part Number</t>
  </si>
  <si>
    <t>CC0603KRX5R7BB106</t>
  </si>
  <si>
    <t>CC0402KRX5R7BB104</t>
  </si>
  <si>
    <t>1N4148WS-7-F</t>
  </si>
  <si>
    <t>NCD0603R3</t>
  </si>
  <si>
    <t>NCD0603B3</t>
  </si>
  <si>
    <t>RC0402FR-071KL</t>
  </si>
  <si>
    <t>RC0201FR-0733RL</t>
  </si>
  <si>
    <t>TL3300CF160Q</t>
  </si>
  <si>
    <t>Manufacturer</t>
  </si>
  <si>
    <t>Yageo</t>
  </si>
  <si>
    <t>Diodes</t>
  </si>
  <si>
    <t>XKB Connectivity</t>
  </si>
  <si>
    <t>Foshan NationStar Optoelectronics</t>
  </si>
  <si>
    <t>E-Switch</t>
  </si>
  <si>
    <t>10uF</t>
  </si>
  <si>
    <t>100nF</t>
  </si>
  <si>
    <t>1K</t>
  </si>
  <si>
    <t>33R</t>
  </si>
  <si>
    <t>Quantity</t>
  </si>
  <si>
    <t>Value</t>
  </si>
  <si>
    <t>Quantity (5 Boards)</t>
  </si>
  <si>
    <t>Remarks</t>
  </si>
  <si>
    <t>Reviewer Remarks</t>
  </si>
  <si>
    <t>Custom</t>
  </si>
  <si>
    <t>-</t>
  </si>
  <si>
    <t>Bill of Materials for Project [Buttons-Board-v1.0.]</t>
  </si>
  <si>
    <t>Buttons-Board-v1.0.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</si>
</sst>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2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charset val="134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0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</xdr:colOff>
      <xdr:row>2</xdr:row>
      <xdr:rowOff>10417</xdr:rowOff>
    </xdr:from>
    <xdr:to>
      <xdr:col>12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21"/>
  <sheetViews>
    <sheetView tabSelected="1" workbookViewId="0">
      <selection activeCell="F26" sqref="F26"/>
    </sheetView>
  </sheetViews>
  <sheetFormatPr defaultRowHeight="1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16.85546875" customWidth="1"/>
    <col min="7" max="7" width="25.28515625" bestFit="1" customWidth="1"/>
    <col min="8" max="8" width="15.5703125" bestFit="1" customWidth="1"/>
    <col min="9" max="9" width="6.140625" bestFit="1" customWidth="1"/>
    <col min="10" max="10" width="8.7109375" bestFit="1" customWidth="1"/>
    <col min="11" max="11" width="18.28515625" bestFit="1" customWidth="1"/>
    <col min="12" max="12" width="8.5703125" bestFit="1" customWidth="1"/>
    <col min="13" max="13" width="26.85546875" bestFit="1" customWidth="1"/>
  </cols>
  <sheetData>
    <row r="1" spans="1:13" ht="15.75" thickBot="1">
      <c r="A1" s="1"/>
      <c r="B1" s="20"/>
      <c r="C1" s="20"/>
      <c r="D1" s="2"/>
      <c r="E1" s="2"/>
      <c r="F1" s="2"/>
      <c r="G1" s="2"/>
      <c r="H1" s="2"/>
      <c r="I1" s="56"/>
      <c r="J1" s="56"/>
      <c r="K1" s="56"/>
      <c r="L1" s="56"/>
      <c r="M1" s="57"/>
    </row>
    <row r="2" spans="1:13" ht="32.25" thickBot="1">
      <c r="A2" s="1"/>
      <c r="B2" s="21"/>
      <c r="C2" s="30"/>
      <c r="D2" s="11" t="s">
        <v>0</v>
      </c>
      <c r="E2" s="11"/>
      <c r="F2" s="48" t="s">
        <v>70</v>
      </c>
      <c r="G2" s="12"/>
      <c r="H2" s="4"/>
      <c r="I2" s="4"/>
      <c r="J2" s="4"/>
      <c r="K2" s="4"/>
      <c r="L2" s="4"/>
      <c r="M2" s="3"/>
    </row>
    <row r="3" spans="1:13">
      <c r="A3" s="1"/>
      <c r="B3" s="22"/>
      <c r="C3" s="31"/>
      <c r="D3" s="13" t="s">
        <v>1</v>
      </c>
      <c r="E3" s="13"/>
      <c r="F3" s="49" t="s">
        <v>71</v>
      </c>
      <c r="G3" s="13"/>
      <c r="H3" s="5"/>
      <c r="I3" s="5"/>
      <c r="J3" s="5"/>
      <c r="K3" s="5"/>
      <c r="L3" s="5"/>
      <c r="M3" s="58"/>
    </row>
    <row r="4" spans="1:13">
      <c r="A4" s="1"/>
      <c r="B4" s="22"/>
      <c r="C4" s="31"/>
      <c r="D4" s="13" t="s">
        <v>2</v>
      </c>
      <c r="E4" s="13"/>
      <c r="F4" s="50" t="s">
        <v>71</v>
      </c>
      <c r="G4" s="14"/>
      <c r="H4" s="7"/>
      <c r="I4" s="7"/>
      <c r="J4" s="6"/>
      <c r="K4" s="6"/>
      <c r="L4" s="6"/>
      <c r="M4" s="59"/>
    </row>
    <row r="5" spans="1:13">
      <c r="A5" s="1"/>
      <c r="B5" s="22"/>
      <c r="C5" s="31"/>
      <c r="D5" s="13" t="s">
        <v>3</v>
      </c>
      <c r="E5" s="13"/>
      <c r="F5" s="51" t="s">
        <v>5</v>
      </c>
      <c r="G5" s="15"/>
      <c r="H5" s="6"/>
      <c r="I5" s="6"/>
      <c r="J5" s="6"/>
      <c r="K5" s="6"/>
      <c r="L5" s="6"/>
      <c r="M5" s="59"/>
    </row>
    <row r="6" spans="1:13">
      <c r="A6" s="1"/>
      <c r="B6" s="23"/>
      <c r="C6" s="32"/>
      <c r="D6" s="16"/>
      <c r="E6" s="16"/>
      <c r="F6" s="17"/>
      <c r="G6" s="15"/>
      <c r="H6" s="6"/>
      <c r="I6" s="6"/>
      <c r="J6" s="6"/>
      <c r="K6" s="6"/>
      <c r="L6" s="6"/>
      <c r="M6" s="59"/>
    </row>
    <row r="7" spans="1:13">
      <c r="A7" s="1"/>
      <c r="B7" s="24"/>
      <c r="C7" s="33"/>
      <c r="D7" s="18"/>
      <c r="E7" s="18"/>
      <c r="F7" s="19"/>
      <c r="G7" s="18"/>
      <c r="H7" s="8"/>
      <c r="I7" s="8"/>
      <c r="J7" s="8"/>
      <c r="K7" s="8"/>
      <c r="L7" s="8"/>
      <c r="M7" s="59"/>
    </row>
    <row r="8" spans="1:13" ht="15.75" thickBot="1">
      <c r="A8" s="1"/>
      <c r="B8" s="27"/>
      <c r="C8" s="34"/>
      <c r="D8" s="28"/>
      <c r="E8" s="28"/>
      <c r="F8" s="29"/>
      <c r="G8" s="18"/>
      <c r="H8" s="8"/>
      <c r="I8" s="8"/>
      <c r="J8" s="8"/>
      <c r="K8" s="8"/>
      <c r="L8" s="8"/>
      <c r="M8" s="59"/>
    </row>
    <row r="9" spans="1:13" ht="15.75" thickBot="1">
      <c r="A9" s="1"/>
      <c r="B9" s="53" t="s">
        <v>4</v>
      </c>
      <c r="C9" s="53" t="s">
        <v>6</v>
      </c>
      <c r="D9" s="53" t="s">
        <v>13</v>
      </c>
      <c r="E9" s="53" t="s">
        <v>24</v>
      </c>
      <c r="F9" s="53" t="s">
        <v>35</v>
      </c>
      <c r="G9" s="53" t="s">
        <v>44</v>
      </c>
      <c r="H9" s="53" t="s">
        <v>53</v>
      </c>
      <c r="I9" s="53" t="s">
        <v>64</v>
      </c>
      <c r="J9" s="53" t="s">
        <v>63</v>
      </c>
      <c r="K9" s="53" t="s">
        <v>65</v>
      </c>
      <c r="L9" s="53" t="s">
        <v>66</v>
      </c>
      <c r="M9" s="53" t="s">
        <v>67</v>
      </c>
    </row>
    <row r="10" spans="1:13">
      <c r="A10" s="1"/>
      <c r="B10" s="44">
        <f>ROW(B10) - ROW($B$9)</f>
        <v>1</v>
      </c>
      <c r="C10" s="54" t="s">
        <v>7</v>
      </c>
      <c r="D10" s="36" t="s">
        <v>14</v>
      </c>
      <c r="E10" s="36" t="s">
        <v>25</v>
      </c>
      <c r="F10" s="36" t="s">
        <v>36</v>
      </c>
      <c r="G10" s="36" t="s">
        <v>45</v>
      </c>
      <c r="H10" s="36" t="s">
        <v>54</v>
      </c>
      <c r="I10" s="36" t="s">
        <v>59</v>
      </c>
      <c r="J10" s="36">
        <v>1</v>
      </c>
      <c r="K10" s="36">
        <f>J10*5</f>
        <v>5</v>
      </c>
      <c r="L10" s="36"/>
      <c r="M10" s="46"/>
    </row>
    <row r="11" spans="1:13">
      <c r="A11" s="1"/>
      <c r="B11" s="45">
        <f t="shared" ref="B11:B19" si="0">ROW(B11) - ROW($B$9)</f>
        <v>2</v>
      </c>
      <c r="C11" s="54" t="s">
        <v>7</v>
      </c>
      <c r="D11" s="47" t="s">
        <v>15</v>
      </c>
      <c r="E11" s="47" t="s">
        <v>26</v>
      </c>
      <c r="F11" s="47" t="s">
        <v>37</v>
      </c>
      <c r="G11" s="47" t="s">
        <v>46</v>
      </c>
      <c r="H11" s="47" t="s">
        <v>54</v>
      </c>
      <c r="I11" s="47" t="s">
        <v>60</v>
      </c>
      <c r="J11" s="47">
        <v>1</v>
      </c>
      <c r="K11" s="47">
        <f t="shared" ref="K11" si="1">J11*5</f>
        <v>5</v>
      </c>
      <c r="L11" s="47"/>
      <c r="M11" s="47"/>
    </row>
    <row r="12" spans="1:13" ht="24">
      <c r="A12" s="1"/>
      <c r="B12" s="44">
        <f>ROW(B12) - ROW($B$9)</f>
        <v>3</v>
      </c>
      <c r="C12" s="54" t="s">
        <v>8</v>
      </c>
      <c r="D12" s="36" t="s">
        <v>16</v>
      </c>
      <c r="E12" s="36" t="s">
        <v>27</v>
      </c>
      <c r="F12" s="36" t="s">
        <v>38</v>
      </c>
      <c r="G12" s="36" t="s">
        <v>47</v>
      </c>
      <c r="H12" s="36" t="s">
        <v>55</v>
      </c>
      <c r="I12" s="36" t="s">
        <v>69</v>
      </c>
      <c r="J12" s="36">
        <v>12</v>
      </c>
      <c r="K12" s="36">
        <f>J12*5</f>
        <v>60</v>
      </c>
      <c r="L12" s="36"/>
      <c r="M12" s="52"/>
    </row>
    <row r="13" spans="1:13" ht="48">
      <c r="A13" s="1"/>
      <c r="B13" s="45">
        <f t="shared" si="0"/>
        <v>4</v>
      </c>
      <c r="C13" s="55" t="s">
        <v>9</v>
      </c>
      <c r="D13" s="47" t="s">
        <v>17</v>
      </c>
      <c r="E13" s="47" t="s">
        <v>28</v>
      </c>
      <c r="F13" s="47" t="s">
        <v>68</v>
      </c>
      <c r="G13" s="47" t="s">
        <v>39</v>
      </c>
      <c r="H13" s="47" t="s">
        <v>56</v>
      </c>
      <c r="I13" s="36" t="s">
        <v>69</v>
      </c>
      <c r="J13" s="47">
        <v>3</v>
      </c>
      <c r="K13" s="47">
        <f t="shared" ref="K13" si="2">J13*5</f>
        <v>15</v>
      </c>
      <c r="L13" s="47"/>
      <c r="M13" s="52"/>
    </row>
    <row r="14" spans="1:13" ht="24">
      <c r="A14" s="1"/>
      <c r="B14" s="44">
        <f>ROW(B14) - ROW($B$9)</f>
        <v>5</v>
      </c>
      <c r="C14" s="54" t="s">
        <v>10</v>
      </c>
      <c r="D14" s="36" t="s">
        <v>18</v>
      </c>
      <c r="E14" s="36" t="s">
        <v>29</v>
      </c>
      <c r="F14" s="36" t="s">
        <v>40</v>
      </c>
      <c r="G14" s="36" t="s">
        <v>48</v>
      </c>
      <c r="H14" s="36" t="s">
        <v>57</v>
      </c>
      <c r="I14" s="36" t="s">
        <v>69</v>
      </c>
      <c r="J14" s="36">
        <v>1</v>
      </c>
      <c r="K14" s="36">
        <f>J14*5</f>
        <v>5</v>
      </c>
      <c r="L14" s="36"/>
      <c r="M14" s="52"/>
    </row>
    <row r="15" spans="1:13" ht="48">
      <c r="A15" s="1"/>
      <c r="B15" s="45">
        <f t="shared" si="0"/>
        <v>6</v>
      </c>
      <c r="C15" s="55" t="s">
        <v>10</v>
      </c>
      <c r="D15" s="47" t="s">
        <v>19</v>
      </c>
      <c r="E15" s="47" t="s">
        <v>30</v>
      </c>
      <c r="F15" s="47" t="s">
        <v>40</v>
      </c>
      <c r="G15" s="47" t="s">
        <v>49</v>
      </c>
      <c r="H15" s="47" t="s">
        <v>57</v>
      </c>
      <c r="I15" s="36" t="s">
        <v>69</v>
      </c>
      <c r="J15" s="47">
        <v>16</v>
      </c>
      <c r="K15" s="47">
        <f t="shared" ref="K15" si="3">J15*5</f>
        <v>80</v>
      </c>
      <c r="L15" s="47"/>
      <c r="M15" s="52"/>
    </row>
    <row r="16" spans="1:13">
      <c r="A16" s="1"/>
      <c r="B16" s="44">
        <f>ROW(B16) - ROW($B$9)</f>
        <v>7</v>
      </c>
      <c r="C16" s="54" t="s">
        <v>11</v>
      </c>
      <c r="D16" s="36" t="s">
        <v>20</v>
      </c>
      <c r="E16" s="36" t="s">
        <v>31</v>
      </c>
      <c r="F16" s="36" t="s">
        <v>41</v>
      </c>
      <c r="G16" s="36" t="s">
        <v>50</v>
      </c>
      <c r="H16" s="36" t="s">
        <v>54</v>
      </c>
      <c r="I16" s="36" t="s">
        <v>61</v>
      </c>
      <c r="J16" s="36">
        <v>1</v>
      </c>
      <c r="K16" s="36">
        <f>J16*5</f>
        <v>5</v>
      </c>
      <c r="L16" s="36"/>
      <c r="M16" s="52"/>
    </row>
    <row r="17" spans="1:13" ht="24">
      <c r="A17" s="1"/>
      <c r="B17" s="45">
        <f t="shared" si="0"/>
        <v>8</v>
      </c>
      <c r="C17" s="55" t="s">
        <v>11</v>
      </c>
      <c r="D17" s="47" t="s">
        <v>21</v>
      </c>
      <c r="E17" s="47" t="s">
        <v>32</v>
      </c>
      <c r="F17" s="47" t="s">
        <v>42</v>
      </c>
      <c r="G17" s="47" t="s">
        <v>51</v>
      </c>
      <c r="H17" s="47" t="s">
        <v>54</v>
      </c>
      <c r="I17" s="47" t="s">
        <v>62</v>
      </c>
      <c r="J17" s="47">
        <v>16</v>
      </c>
      <c r="K17" s="47">
        <f t="shared" ref="K17" si="4">J17*5</f>
        <v>80</v>
      </c>
      <c r="L17" s="47"/>
      <c r="M17" s="52"/>
    </row>
    <row r="18" spans="1:13">
      <c r="A18" s="1"/>
      <c r="B18" s="44">
        <f>ROW(B18) - ROW($B$9)</f>
        <v>9</v>
      </c>
      <c r="C18" s="54" t="s">
        <v>12</v>
      </c>
      <c r="D18" s="36" t="s">
        <v>22</v>
      </c>
      <c r="E18" s="36" t="s">
        <v>33</v>
      </c>
      <c r="F18" s="47" t="s">
        <v>68</v>
      </c>
      <c r="G18" s="36" t="s">
        <v>52</v>
      </c>
      <c r="H18" s="36" t="s">
        <v>58</v>
      </c>
      <c r="I18" s="36" t="s">
        <v>69</v>
      </c>
      <c r="J18" s="36">
        <v>1</v>
      </c>
      <c r="K18" s="36">
        <f>J18*5</f>
        <v>5</v>
      </c>
      <c r="L18" s="36"/>
      <c r="M18" s="52"/>
    </row>
    <row r="19" spans="1:13" ht="36.75" thickBot="1">
      <c r="A19" s="1"/>
      <c r="B19" s="45">
        <f t="shared" si="0"/>
        <v>10</v>
      </c>
      <c r="C19" s="55" t="s">
        <v>12</v>
      </c>
      <c r="D19" s="47" t="s">
        <v>23</v>
      </c>
      <c r="E19" s="47" t="s">
        <v>34</v>
      </c>
      <c r="F19" s="47" t="s">
        <v>68</v>
      </c>
      <c r="G19" s="47" t="s">
        <v>43</v>
      </c>
      <c r="H19" s="47" t="s">
        <v>56</v>
      </c>
      <c r="I19" s="36" t="s">
        <v>69</v>
      </c>
      <c r="J19" s="47">
        <v>12</v>
      </c>
      <c r="K19" s="47">
        <f t="shared" ref="K19" si="5">J19*5</f>
        <v>60</v>
      </c>
      <c r="L19" s="47"/>
      <c r="M19" s="37"/>
    </row>
    <row r="20" spans="1:13">
      <c r="A20" s="1"/>
      <c r="B20" s="38"/>
      <c r="C20" s="39"/>
      <c r="D20" s="40"/>
      <c r="E20" s="41"/>
      <c r="F20" s="42"/>
      <c r="G20" s="43"/>
      <c r="H20" s="42"/>
      <c r="I20" s="43"/>
      <c r="J20" s="43"/>
      <c r="K20" s="43"/>
      <c r="L20" s="60"/>
      <c r="M20" s="61"/>
    </row>
    <row r="21" spans="1:13" ht="15.75" thickBot="1">
      <c r="A21" s="1"/>
      <c r="B21" s="25"/>
      <c r="C21" s="35"/>
      <c r="D21" s="9"/>
      <c r="E21" s="10"/>
      <c r="F21" s="10"/>
      <c r="G21" s="10"/>
      <c r="H21" s="10"/>
      <c r="I21" s="10"/>
      <c r="J21" s="10"/>
      <c r="K21" s="10"/>
      <c r="L21" s="62"/>
      <c r="M21" s="63"/>
    </row>
  </sheetData>
  <mergeCells count="3">
    <mergeCell ref="I1:M1"/>
    <mergeCell ref="M3:M8"/>
    <mergeCell ref="L20:M2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2023-11-30T09:21:49Z</dcterms:modified>
</cp:coreProperties>
</file>