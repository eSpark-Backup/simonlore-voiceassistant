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simonlore-voiceassistant\Design-Files\Buttons-Board-v1.0\BOM\"/>
    </mc:Choice>
  </mc:AlternateContent>
  <bookViews>
    <workbookView xWindow="28680" yWindow="-120" windowWidth="29040" windowHeight="15840"/>
  </bookViews>
  <sheets>
    <sheet name="5 Boards" sheetId="1" r:id="rId1"/>
  </sheets>
  <calcPr calcId="162913"/>
</workbook>
</file>

<file path=xl/calcChain.xml><?xml version="1.0" encoding="utf-8"?>
<calcChain xmlns="http://schemas.openxmlformats.org/spreadsheetml/2006/main">
  <c r="Q19" i="1" l="1"/>
  <c r="M19" i="1"/>
  <c r="B19" i="1"/>
  <c r="Q18" i="1"/>
  <c r="M18" i="1"/>
  <c r="B18" i="1"/>
  <c r="Q17" i="1"/>
  <c r="M17" i="1"/>
  <c r="B17" i="1"/>
  <c r="Q16" i="1"/>
  <c r="M16" i="1"/>
  <c r="B16" i="1"/>
  <c r="Q15" i="1"/>
  <c r="M15" i="1"/>
  <c r="B15" i="1"/>
  <c r="Q14" i="1"/>
  <c r="M14" i="1"/>
  <c r="B14" i="1"/>
  <c r="Q13" i="1"/>
  <c r="M13" i="1"/>
  <c r="B13" i="1"/>
  <c r="Q12" i="1"/>
  <c r="M12" i="1"/>
  <c r="B12" i="1"/>
  <c r="Q20" i="1" l="1"/>
  <c r="Q21" i="1"/>
  <c r="Q11" i="1"/>
  <c r="Q10" i="1"/>
  <c r="M11" i="1"/>
  <c r="M10" i="1"/>
  <c r="B11" i="1"/>
  <c r="B10" i="1"/>
</calcChain>
</file>

<file path=xl/sharedStrings.xml><?xml version="1.0" encoding="utf-8"?>
<sst xmlns="http://schemas.openxmlformats.org/spreadsheetml/2006/main" count="128" uniqueCount="91">
  <si>
    <t>Component list</t>
  </si>
  <si>
    <t>Source Data From:</t>
  </si>
  <si>
    <t>Project:</t>
  </si>
  <si>
    <t>Variant:</t>
  </si>
  <si>
    <t>#</t>
  </si>
  <si>
    <t xml:space="preserve">Total Component Cost </t>
  </si>
  <si>
    <t>Single Board Cost</t>
  </si>
  <si>
    <t>None</t>
  </si>
  <si>
    <t>Item Type</t>
  </si>
  <si>
    <t>Capacitor</t>
  </si>
  <si>
    <t>Diode</t>
  </si>
  <si>
    <t>Board / Wire To Wire Connector</t>
  </si>
  <si>
    <t>LED</t>
  </si>
  <si>
    <t>Resistor</t>
  </si>
  <si>
    <t>Tactile Switch</t>
  </si>
  <si>
    <t>Designator</t>
  </si>
  <si>
    <t>C1</t>
  </si>
  <si>
    <t>C2</t>
  </si>
  <si>
    <t>D1, D2, D3, D4, D5, D6, D7, D8, D9, D10, D11, D12</t>
  </si>
  <si>
    <t>J1, J2, J3</t>
  </si>
  <si>
    <t>LED1</t>
  </si>
  <si>
    <t>LED2, LED3, LED4, LED5, LED6, LED7, LED8, LED9, LED10, LED11, LED12, LED13, LED14, LED15, LED16, LED17</t>
  </si>
  <si>
    <t>R1</t>
  </si>
  <si>
    <t>R2, R3, R4, R5, R6, R7, R8, R9, R10, R11, R12, R13, R14, R15, R16, R17</t>
  </si>
  <si>
    <t>SW1</t>
  </si>
  <si>
    <t>SW2, SW3, SW4, SW5, SW6, SW7, SW8, SW9, SW10, SW11, SW12, SW13</t>
  </si>
  <si>
    <t>Description</t>
  </si>
  <si>
    <t>CAP CER 10UF 16V X5R 0603</t>
  </si>
  <si>
    <t>CAP CER 0.1UF 16V X5R 0402</t>
  </si>
  <si>
    <t>DIODE GEN PURP 75V 150MA SOD323</t>
  </si>
  <si>
    <t>1x9P 1 Tin 1mm male 9 260℃ -25℃~+85℃ Brass 1A Surface Mount SMD,P=1mm Wire To Board / Wire To Wire Connector ROHS</t>
  </si>
  <si>
    <t>RED LED 0603 Light Emitting Diodes</t>
  </si>
  <si>
    <t>blue 0603 Light Emitting Diodes (LED) ROHS</t>
  </si>
  <si>
    <t>RES 1K OHM 1% 1/16W 0402</t>
  </si>
  <si>
    <t>RES 33 OHM 1% 1/20W 0201</t>
  </si>
  <si>
    <t>SWITCH TACTILE SPST-NO 0.05A 12V</t>
  </si>
  <si>
    <t>No NO 50mA 100000 Times 160gf 12V Brick nogging SPST SMD Tactile Switches ROHS</t>
  </si>
  <si>
    <t>Footprint</t>
  </si>
  <si>
    <t>Cap-0603</t>
  </si>
  <si>
    <t>Cap-0402</t>
  </si>
  <si>
    <t>SOD-323</t>
  </si>
  <si>
    <t>X1002WRS-09E-LPSWHF</t>
  </si>
  <si>
    <t>LED-0603</t>
  </si>
  <si>
    <t>Res-0402</t>
  </si>
  <si>
    <t>Res-0201</t>
  </si>
  <si>
    <t>TS-1109S-B-B</t>
  </si>
  <si>
    <t>Manufacturer Part Number</t>
  </si>
  <si>
    <t>CC0603KRX5R7BB106</t>
  </si>
  <si>
    <t>CC0402KRX5R7BB104</t>
  </si>
  <si>
    <t>1N4148WS-7-F</t>
  </si>
  <si>
    <t>NCD0603R3</t>
  </si>
  <si>
    <t>NCD0603B3</t>
  </si>
  <si>
    <t>RC0402FR-071KL</t>
  </si>
  <si>
    <t>RC0201FR-0733RL</t>
  </si>
  <si>
    <t>TL3300CF160Q</t>
  </si>
  <si>
    <t>Manufacturer</t>
  </si>
  <si>
    <t>Yageo</t>
  </si>
  <si>
    <t>Diodes</t>
  </si>
  <si>
    <t>XKB Connectivity</t>
  </si>
  <si>
    <t>Foshan NationStar Optoelectronics</t>
  </si>
  <si>
    <t>E-Switch</t>
  </si>
  <si>
    <t>LCSC Part Number</t>
  </si>
  <si>
    <t>C2936601</t>
  </si>
  <si>
    <t>C106204</t>
  </si>
  <si>
    <t>C60580</t>
  </si>
  <si>
    <t>C437069</t>
  </si>
  <si>
    <t>C3151730</t>
  </si>
  <si>
    <t>C158101</t>
  </si>
  <si>
    <t>C106235</t>
  </si>
  <si>
    <t>C295794</t>
  </si>
  <si>
    <t>C273516</t>
  </si>
  <si>
    <t>C480315</t>
  </si>
  <si>
    <t>10uF</t>
  </si>
  <si>
    <t>100nF</t>
  </si>
  <si>
    <t>1K</t>
  </si>
  <si>
    <t>33R</t>
  </si>
  <si>
    <t>Quantity</t>
  </si>
  <si>
    <t>Value</t>
  </si>
  <si>
    <t>Alternate Part Number</t>
  </si>
  <si>
    <t>Quantity (5 Boards)</t>
  </si>
  <si>
    <t>MOQ (5 Boards)</t>
  </si>
  <si>
    <t>Links</t>
  </si>
  <si>
    <t>Unit Cost (5 Boards)</t>
  </si>
  <si>
    <t>Total Cost (5 Boards)</t>
  </si>
  <si>
    <t>Remarks</t>
  </si>
  <si>
    <t>Reviewer Remarks</t>
  </si>
  <si>
    <t>Custom</t>
  </si>
  <si>
    <t>-</t>
  </si>
  <si>
    <t>LCSC</t>
  </si>
  <si>
    <t>Bill of Materials for Project [Buttons-Board-v1.0.]</t>
  </si>
  <si>
    <t>Buttons-Board-v1.0.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</si>
</sst>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4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theme="0"/>
      <name val="Calibri"/>
      <charset val="134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72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/>
    <xf numFmtId="0" fontId="9" fillId="3" borderId="5" xfId="0" applyFont="1" applyFill="1" applyBorder="1"/>
    <xf numFmtId="0" fontId="9" fillId="3" borderId="6" xfId="0" applyFont="1" applyFill="1" applyBorder="1"/>
    <xf numFmtId="0" fontId="10" fillId="3" borderId="0" xfId="0" applyFont="1" applyFill="1"/>
    <xf numFmtId="0" fontId="11" fillId="3" borderId="3" xfId="0" applyFont="1" applyFill="1" applyBorder="1" applyAlignment="1" applyProtection="1">
      <alignment horizontal="left" vertical="top"/>
      <protection locked="0"/>
    </xf>
    <xf numFmtId="0" fontId="12" fillId="3" borderId="3" xfId="0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/>
    <xf numFmtId="0" fontId="13" fillId="3" borderId="6" xfId="0" applyFont="1" applyFill="1" applyBorder="1"/>
    <xf numFmtId="0" fontId="13" fillId="3" borderId="5" xfId="0" applyFont="1" applyFill="1" applyBorder="1"/>
    <xf numFmtId="0" fontId="11" fillId="3" borderId="5" xfId="0" applyFont="1" applyFill="1" applyBorder="1"/>
    <xf numFmtId="0" fontId="13" fillId="3" borderId="5" xfId="0" applyFont="1" applyFill="1" applyBorder="1" applyAlignment="1">
      <alignment horizontal="left"/>
    </xf>
    <xf numFmtId="0" fontId="16" fillId="3" borderId="0" xfId="0" applyFont="1" applyFill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/>
    <xf numFmtId="164" fontId="13" fillId="3" borderId="0" xfId="0" applyNumberFormat="1" applyFont="1" applyFill="1" applyAlignment="1">
      <alignment horizontal="left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3" fillId="3" borderId="3" xfId="0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165" fontId="18" fillId="2" borderId="16" xfId="0" applyNumberFormat="1" applyFont="1" applyFill="1" applyBorder="1" applyAlignment="1">
      <alignment horizontal="center" vertical="center" wrapText="1"/>
    </xf>
    <xf numFmtId="0" fontId="18" fillId="2" borderId="1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vertical="center"/>
      <protection locked="0"/>
    </xf>
    <xf numFmtId="0" fontId="12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>
      <alignment vertical="center"/>
    </xf>
    <xf numFmtId="0" fontId="0" fillId="3" borderId="0" xfId="0" applyFill="1"/>
    <xf numFmtId="0" fontId="11" fillId="4" borderId="16" xfId="0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166" fontId="15" fillId="3" borderId="15" xfId="0" quotePrefix="1" applyNumberFormat="1" applyFont="1" applyFill="1" applyBorder="1" applyAlignment="1">
      <alignment horizontal="center" vertical="center" wrapText="1"/>
    </xf>
    <xf numFmtId="166" fontId="15" fillId="3" borderId="21" xfId="0" applyNumberFormat="1" applyFont="1" applyFill="1" applyBorder="1" applyAlignment="1">
      <alignment horizontal="center" vertical="center"/>
    </xf>
    <xf numFmtId="0" fontId="19" fillId="2" borderId="16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 vertical="center" wrapText="1"/>
    </xf>
    <xf numFmtId="165" fontId="18" fillId="2" borderId="17" xfId="0" applyNumberFormat="1" applyFont="1" applyFill="1" applyBorder="1" applyAlignment="1">
      <alignment horizontal="center" vertical="center" wrapText="1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Alignment="1">
      <alignment horizontal="left"/>
    </xf>
    <xf numFmtId="0" fontId="11" fillId="3" borderId="6" xfId="0" quotePrefix="1" applyFont="1" applyFill="1" applyBorder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18" fillId="2" borderId="2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3" borderId="0" xfId="0" applyFont="1" applyFill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20" fillId="3" borderId="20" xfId="0" applyFont="1" applyFill="1" applyBorder="1" applyAlignment="1" applyProtection="1">
      <alignment horizontal="center" vertical="top"/>
      <protection locked="0"/>
    </xf>
    <xf numFmtId="0" fontId="20" fillId="3" borderId="12" xfId="0" applyFont="1" applyFill="1" applyBorder="1" applyAlignment="1" applyProtection="1">
      <alignment horizontal="center" vertical="top"/>
      <protection locked="0"/>
    </xf>
    <xf numFmtId="0" fontId="21" fillId="4" borderId="15" xfId="0" applyFont="1" applyFill="1" applyBorder="1" applyAlignment="1">
      <alignment horizontal="center" vertical="center"/>
    </xf>
    <xf numFmtId="0" fontId="22" fillId="2" borderId="16" xfId="1" applyFill="1" applyBorder="1" applyAlignment="1">
      <alignment horizontal="center" vertical="center" wrapText="1"/>
    </xf>
    <xf numFmtId="0" fontId="22" fillId="2" borderId="17" xfId="1" applyFill="1" applyBorder="1" applyAlignment="1">
      <alignment horizontal="center" vertical="center" wrapText="1"/>
    </xf>
    <xf numFmtId="0" fontId="23" fillId="2" borderId="16" xfId="0" applyFont="1" applyFill="1" applyBorder="1" applyAlignment="1">
      <alignment horizontal="center" vertical="center" wrapText="1"/>
    </xf>
    <xf numFmtId="0" fontId="23" fillId="2" borderId="17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27550" y="62001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Wire-To-Board-Wire-To-Wire-Connector_XKB-Connectivity-X1002WRS-09E-LPSWHF_C437069.html" TargetMode="External"/><Relationship Id="rId3" Type="http://schemas.openxmlformats.org/officeDocument/2006/relationships/hyperlink" Target="https://www.lcsc.com/product-detail/Light-Emitting-Diodes-LED_Foshan-NationStar-Optoelectronics-NCD0603R3_C3151730.html" TargetMode="External"/><Relationship Id="rId7" Type="http://schemas.openxmlformats.org/officeDocument/2006/relationships/hyperlink" Target="https://www.lcsc.com/product-detail/Switching-Diode_Diodes-Incorporated-1N4148WS-7-F_C60580.html" TargetMode="External"/><Relationship Id="rId12" Type="http://schemas.openxmlformats.org/officeDocument/2006/relationships/drawing" Target="../drawings/drawing1.xml"/><Relationship Id="rId2" Type="http://schemas.openxmlformats.org/officeDocument/2006/relationships/hyperlink" Target="https://www.lcsc.com/product-detail/Multilayer-Ceramic-Capacitors-MLCC-SMD-SMT_YAGEO-CC0402KRX5R7BB104_C106204.html" TargetMode="External"/><Relationship Id="rId1" Type="http://schemas.openxmlformats.org/officeDocument/2006/relationships/hyperlink" Target="https://www.lcsc.com/product-detail/Multilayer-Ceramic-Capacitors-MLCC-SMD-SMT_YAGEO-CC0603KRX5R7BB106_C2936601.html" TargetMode="External"/><Relationship Id="rId6" Type="http://schemas.openxmlformats.org/officeDocument/2006/relationships/hyperlink" Target="https://www.lcsc.com/product-detail/Tactile-Switches_XKB-Connectivity-TS-1109S-C-B_C381037.html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www.lcsc.com/product-detail/Chip-Resistor-Surface-Mount_YAGEO-RC0201FR-0733RL_C295794.html" TargetMode="External"/><Relationship Id="rId10" Type="http://schemas.openxmlformats.org/officeDocument/2006/relationships/hyperlink" Target="https://www.lcsc.com/product-detail/Tactile-Switches_E-Switch-TL3300CF160Q_C273516.html" TargetMode="External"/><Relationship Id="rId4" Type="http://schemas.openxmlformats.org/officeDocument/2006/relationships/hyperlink" Target="https://www.lcsc.com/product-detail/Chip-Resistor-Surface-Mount_YAGEO-RC0402FR-071KL_C106235.html" TargetMode="External"/><Relationship Id="rId9" Type="http://schemas.openxmlformats.org/officeDocument/2006/relationships/hyperlink" Target="https://www.lcsc.com/product-detail/Light-Emitting-Diodes-LED_Foshan-NationStar-Optoelectronics-NCD0603B3_C1581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21"/>
  <sheetViews>
    <sheetView tabSelected="1" workbookViewId="0">
      <selection activeCell="F27" sqref="F27"/>
    </sheetView>
  </sheetViews>
  <sheetFormatPr defaultRowHeight="15"/>
  <cols>
    <col min="2" max="2" width="3.140625" style="26" customWidth="1"/>
    <col min="3" max="3" width="18" style="26" bestFit="1" customWidth="1"/>
    <col min="4" max="4" width="27.42578125" customWidth="1"/>
    <col min="5" max="5" width="30.85546875" customWidth="1"/>
    <col min="6" max="6" width="16.85546875" customWidth="1"/>
    <col min="7" max="7" width="25.28515625" bestFit="1" customWidth="1"/>
    <col min="8" max="8" width="15.5703125" bestFit="1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18.28515625" bestFit="1" customWidth="1"/>
    <col min="14" max="14" width="15.140625" bestFit="1" customWidth="1"/>
    <col min="15" max="15" width="5.42578125" bestFit="1" customWidth="1"/>
    <col min="16" max="16" width="18.7109375" bestFit="1" customWidth="1"/>
    <col min="17" max="17" width="19.28515625" bestFit="1" customWidth="1"/>
    <col min="18" max="18" width="8.5703125" bestFit="1" customWidth="1"/>
    <col min="19" max="19" width="26.85546875" bestFit="1" customWidth="1"/>
  </cols>
  <sheetData>
    <row r="1" spans="1:19" ht="15.75" thickBot="1">
      <c r="A1" s="1"/>
      <c r="B1" s="20"/>
      <c r="C1" s="20"/>
      <c r="D1" s="2"/>
      <c r="E1" s="2"/>
      <c r="F1" s="2"/>
      <c r="G1" s="2"/>
      <c r="H1" s="2"/>
      <c r="I1" s="2"/>
      <c r="J1" s="2"/>
      <c r="K1" s="57"/>
      <c r="L1" s="57"/>
      <c r="M1" s="57"/>
      <c r="N1" s="57"/>
      <c r="O1" s="57"/>
      <c r="P1" s="57"/>
      <c r="Q1" s="57"/>
      <c r="R1" s="57"/>
      <c r="S1" s="58"/>
    </row>
    <row r="2" spans="1:19" ht="32.25" thickBot="1">
      <c r="A2" s="1"/>
      <c r="B2" s="21"/>
      <c r="C2" s="30"/>
      <c r="D2" s="11" t="s">
        <v>0</v>
      </c>
      <c r="E2" s="11"/>
      <c r="F2" s="52" t="s">
        <v>89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>
      <c r="A3" s="1"/>
      <c r="B3" s="22"/>
      <c r="C3" s="31"/>
      <c r="D3" s="13" t="s">
        <v>1</v>
      </c>
      <c r="E3" s="13"/>
      <c r="F3" s="53" t="s">
        <v>90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59"/>
    </row>
    <row r="4" spans="1:19">
      <c r="A4" s="1"/>
      <c r="B4" s="22"/>
      <c r="C4" s="31"/>
      <c r="D4" s="13" t="s">
        <v>2</v>
      </c>
      <c r="E4" s="13"/>
      <c r="F4" s="54" t="s">
        <v>90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60"/>
    </row>
    <row r="5" spans="1:19">
      <c r="A5" s="1"/>
      <c r="B5" s="22"/>
      <c r="C5" s="31"/>
      <c r="D5" s="13" t="s">
        <v>3</v>
      </c>
      <c r="E5" s="13"/>
      <c r="F5" s="55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60"/>
    </row>
    <row r="6" spans="1:19">
      <c r="A6" s="1"/>
      <c r="B6" s="23"/>
      <c r="C6" s="32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60"/>
    </row>
    <row r="7" spans="1:19">
      <c r="A7" s="1"/>
      <c r="B7" s="24"/>
      <c r="C7" s="33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60"/>
    </row>
    <row r="8" spans="1:19" ht="15.75" thickBot="1">
      <c r="A8" s="1"/>
      <c r="B8" s="27"/>
      <c r="C8" s="34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60"/>
    </row>
    <row r="9" spans="1:19" ht="15.75" thickBot="1">
      <c r="A9" s="1"/>
      <c r="B9" s="67" t="s">
        <v>4</v>
      </c>
      <c r="C9" s="67" t="s">
        <v>8</v>
      </c>
      <c r="D9" s="67" t="s">
        <v>15</v>
      </c>
      <c r="E9" s="67" t="s">
        <v>26</v>
      </c>
      <c r="F9" s="67" t="s">
        <v>37</v>
      </c>
      <c r="G9" s="67" t="s">
        <v>46</v>
      </c>
      <c r="H9" s="67" t="s">
        <v>55</v>
      </c>
      <c r="I9" s="67" t="s">
        <v>78</v>
      </c>
      <c r="J9" s="67" t="s">
        <v>61</v>
      </c>
      <c r="K9" s="67" t="s">
        <v>77</v>
      </c>
      <c r="L9" s="67" t="s">
        <v>76</v>
      </c>
      <c r="M9" s="67" t="s">
        <v>79</v>
      </c>
      <c r="N9" s="67" t="s">
        <v>80</v>
      </c>
      <c r="O9" s="67" t="s">
        <v>81</v>
      </c>
      <c r="P9" s="67" t="s">
        <v>82</v>
      </c>
      <c r="Q9" s="67" t="s">
        <v>83</v>
      </c>
      <c r="R9" s="67" t="s">
        <v>84</v>
      </c>
      <c r="S9" s="67" t="s">
        <v>85</v>
      </c>
    </row>
    <row r="10" spans="1:19">
      <c r="A10" s="1"/>
      <c r="B10" s="45">
        <f>ROW(B10) - ROW($B$9)</f>
        <v>1</v>
      </c>
      <c r="C10" s="70" t="s">
        <v>9</v>
      </c>
      <c r="D10" s="36" t="s">
        <v>16</v>
      </c>
      <c r="E10" s="36" t="s">
        <v>27</v>
      </c>
      <c r="F10" s="36" t="s">
        <v>38</v>
      </c>
      <c r="G10" s="36" t="s">
        <v>47</v>
      </c>
      <c r="H10" s="36" t="s">
        <v>56</v>
      </c>
      <c r="I10" s="36" t="s">
        <v>87</v>
      </c>
      <c r="J10" s="36" t="s">
        <v>62</v>
      </c>
      <c r="K10" s="36" t="s">
        <v>72</v>
      </c>
      <c r="L10" s="36">
        <v>1</v>
      </c>
      <c r="M10" s="36">
        <f>L10*5</f>
        <v>5</v>
      </c>
      <c r="N10" s="36">
        <v>10</v>
      </c>
      <c r="O10" s="68" t="s">
        <v>88</v>
      </c>
      <c r="P10" s="37">
        <v>0.13719999999999999</v>
      </c>
      <c r="Q10" s="37">
        <f>P10*N10</f>
        <v>1.3719999999999999</v>
      </c>
      <c r="R10" s="36"/>
      <c r="S10" s="49"/>
    </row>
    <row r="11" spans="1:19">
      <c r="A11" s="1"/>
      <c r="B11" s="46">
        <f t="shared" ref="B11:B19" si="0">ROW(B11) - ROW($B$9)</f>
        <v>2</v>
      </c>
      <c r="C11" s="70" t="s">
        <v>9</v>
      </c>
      <c r="D11" s="50" t="s">
        <v>17</v>
      </c>
      <c r="E11" s="50" t="s">
        <v>28</v>
      </c>
      <c r="F11" s="50" t="s">
        <v>39</v>
      </c>
      <c r="G11" s="50" t="s">
        <v>48</v>
      </c>
      <c r="H11" s="50" t="s">
        <v>56</v>
      </c>
      <c r="I11" s="50" t="s">
        <v>87</v>
      </c>
      <c r="J11" s="50" t="s">
        <v>63</v>
      </c>
      <c r="K11" s="50" t="s">
        <v>73</v>
      </c>
      <c r="L11" s="50">
        <v>1</v>
      </c>
      <c r="M11" s="50">
        <f t="shared" ref="M11" si="1">L11*5</f>
        <v>5</v>
      </c>
      <c r="N11" s="50">
        <v>100</v>
      </c>
      <c r="O11" s="69" t="s">
        <v>88</v>
      </c>
      <c r="P11" s="51">
        <v>1.1000000000000001E-3</v>
      </c>
      <c r="Q11" s="51">
        <f t="shared" ref="Q11" si="2">P11*N11</f>
        <v>0.11</v>
      </c>
      <c r="R11" s="50"/>
      <c r="S11" s="50"/>
    </row>
    <row r="12" spans="1:19" ht="24">
      <c r="A12" s="1"/>
      <c r="B12" s="45">
        <f>ROW(B12) - ROW($B$9)</f>
        <v>3</v>
      </c>
      <c r="C12" s="70" t="s">
        <v>10</v>
      </c>
      <c r="D12" s="36" t="s">
        <v>18</v>
      </c>
      <c r="E12" s="36" t="s">
        <v>29</v>
      </c>
      <c r="F12" s="36" t="s">
        <v>40</v>
      </c>
      <c r="G12" s="36" t="s">
        <v>49</v>
      </c>
      <c r="H12" s="36" t="s">
        <v>57</v>
      </c>
      <c r="I12" s="50" t="s">
        <v>87</v>
      </c>
      <c r="J12" s="36" t="s">
        <v>64</v>
      </c>
      <c r="K12" s="36" t="s">
        <v>87</v>
      </c>
      <c r="L12" s="36">
        <v>12</v>
      </c>
      <c r="M12" s="36">
        <f>L12*5</f>
        <v>60</v>
      </c>
      <c r="N12" s="36">
        <v>100</v>
      </c>
      <c r="O12" s="68" t="s">
        <v>88</v>
      </c>
      <c r="P12" s="37">
        <v>1.2800000000000001E-2</v>
      </c>
      <c r="Q12" s="37">
        <f>P12*N12</f>
        <v>1.28</v>
      </c>
      <c r="R12" s="36"/>
      <c r="S12" s="56"/>
    </row>
    <row r="13" spans="1:19" ht="48">
      <c r="A13" s="1"/>
      <c r="B13" s="46">
        <f t="shared" si="0"/>
        <v>4</v>
      </c>
      <c r="C13" s="71" t="s">
        <v>11</v>
      </c>
      <c r="D13" s="50" t="s">
        <v>19</v>
      </c>
      <c r="E13" s="50" t="s">
        <v>30</v>
      </c>
      <c r="F13" s="50" t="s">
        <v>86</v>
      </c>
      <c r="G13" s="50" t="s">
        <v>41</v>
      </c>
      <c r="H13" s="50" t="s">
        <v>58</v>
      </c>
      <c r="I13" s="50" t="s">
        <v>87</v>
      </c>
      <c r="J13" s="50" t="s">
        <v>65</v>
      </c>
      <c r="K13" s="36" t="s">
        <v>87</v>
      </c>
      <c r="L13" s="50">
        <v>3</v>
      </c>
      <c r="M13" s="50">
        <f t="shared" ref="M13" si="3">L13*5</f>
        <v>15</v>
      </c>
      <c r="N13" s="50">
        <v>20</v>
      </c>
      <c r="O13" s="69" t="s">
        <v>88</v>
      </c>
      <c r="P13" s="51">
        <v>0.115</v>
      </c>
      <c r="Q13" s="51">
        <f t="shared" ref="Q13" si="4">P13*N13</f>
        <v>2.3000000000000003</v>
      </c>
      <c r="R13" s="50"/>
      <c r="S13" s="56"/>
    </row>
    <row r="14" spans="1:19" ht="24">
      <c r="A14" s="1"/>
      <c r="B14" s="45">
        <f>ROW(B14) - ROW($B$9)</f>
        <v>5</v>
      </c>
      <c r="C14" s="70" t="s">
        <v>12</v>
      </c>
      <c r="D14" s="36" t="s">
        <v>20</v>
      </c>
      <c r="E14" s="36" t="s">
        <v>31</v>
      </c>
      <c r="F14" s="36" t="s">
        <v>42</v>
      </c>
      <c r="G14" s="36" t="s">
        <v>50</v>
      </c>
      <c r="H14" s="36" t="s">
        <v>59</v>
      </c>
      <c r="I14" s="50" t="s">
        <v>87</v>
      </c>
      <c r="J14" s="36" t="s">
        <v>66</v>
      </c>
      <c r="K14" s="36" t="s">
        <v>87</v>
      </c>
      <c r="L14" s="36">
        <v>1</v>
      </c>
      <c r="M14" s="36">
        <f>L14*5</f>
        <v>5</v>
      </c>
      <c r="N14" s="36">
        <v>20</v>
      </c>
      <c r="O14" s="68" t="s">
        <v>88</v>
      </c>
      <c r="P14" s="37">
        <v>2.0799999999999999E-2</v>
      </c>
      <c r="Q14" s="37">
        <f>P14*N14</f>
        <v>0.41599999999999998</v>
      </c>
      <c r="R14" s="36"/>
      <c r="S14" s="56"/>
    </row>
    <row r="15" spans="1:19" ht="48">
      <c r="A15" s="1"/>
      <c r="B15" s="46">
        <f t="shared" si="0"/>
        <v>6</v>
      </c>
      <c r="C15" s="71" t="s">
        <v>12</v>
      </c>
      <c r="D15" s="50" t="s">
        <v>21</v>
      </c>
      <c r="E15" s="50" t="s">
        <v>32</v>
      </c>
      <c r="F15" s="50" t="s">
        <v>42</v>
      </c>
      <c r="G15" s="50" t="s">
        <v>51</v>
      </c>
      <c r="H15" s="50" t="s">
        <v>59</v>
      </c>
      <c r="I15" s="50" t="s">
        <v>87</v>
      </c>
      <c r="J15" s="50" t="s">
        <v>67</v>
      </c>
      <c r="K15" s="36" t="s">
        <v>87</v>
      </c>
      <c r="L15" s="50">
        <v>16</v>
      </c>
      <c r="M15" s="50">
        <f t="shared" ref="M15" si="5">L15*5</f>
        <v>80</v>
      </c>
      <c r="N15" s="50">
        <v>100</v>
      </c>
      <c r="O15" s="69" t="s">
        <v>88</v>
      </c>
      <c r="P15" s="51">
        <v>3.1300000000000001E-2</v>
      </c>
      <c r="Q15" s="51">
        <f t="shared" ref="Q15" si="6">P15*N15</f>
        <v>3.1300000000000003</v>
      </c>
      <c r="R15" s="50"/>
      <c r="S15" s="56"/>
    </row>
    <row r="16" spans="1:19">
      <c r="A16" s="1"/>
      <c r="B16" s="45">
        <f>ROW(B16) - ROW($B$9)</f>
        <v>7</v>
      </c>
      <c r="C16" s="70" t="s">
        <v>13</v>
      </c>
      <c r="D16" s="36" t="s">
        <v>22</v>
      </c>
      <c r="E16" s="36" t="s">
        <v>33</v>
      </c>
      <c r="F16" s="36" t="s">
        <v>43</v>
      </c>
      <c r="G16" s="36" t="s">
        <v>52</v>
      </c>
      <c r="H16" s="36" t="s">
        <v>56</v>
      </c>
      <c r="I16" s="50" t="s">
        <v>87</v>
      </c>
      <c r="J16" s="36" t="s">
        <v>68</v>
      </c>
      <c r="K16" s="36" t="s">
        <v>74</v>
      </c>
      <c r="L16" s="36">
        <v>1</v>
      </c>
      <c r="M16" s="36">
        <f>L16*5</f>
        <v>5</v>
      </c>
      <c r="N16" s="36">
        <v>100</v>
      </c>
      <c r="O16" s="68" t="s">
        <v>88</v>
      </c>
      <c r="P16" s="37">
        <v>6.9999999999999999E-4</v>
      </c>
      <c r="Q16" s="37">
        <f>P16*N16</f>
        <v>6.9999999999999993E-2</v>
      </c>
      <c r="R16" s="36"/>
      <c r="S16" s="56"/>
    </row>
    <row r="17" spans="1:19" ht="24">
      <c r="A17" s="1"/>
      <c r="B17" s="46">
        <f t="shared" si="0"/>
        <v>8</v>
      </c>
      <c r="C17" s="71" t="s">
        <v>13</v>
      </c>
      <c r="D17" s="50" t="s">
        <v>23</v>
      </c>
      <c r="E17" s="50" t="s">
        <v>34</v>
      </c>
      <c r="F17" s="50" t="s">
        <v>44</v>
      </c>
      <c r="G17" s="50" t="s">
        <v>53</v>
      </c>
      <c r="H17" s="50" t="s">
        <v>56</v>
      </c>
      <c r="I17" s="50" t="s">
        <v>87</v>
      </c>
      <c r="J17" s="50" t="s">
        <v>69</v>
      </c>
      <c r="K17" s="50" t="s">
        <v>75</v>
      </c>
      <c r="L17" s="50">
        <v>16</v>
      </c>
      <c r="M17" s="50">
        <f t="shared" ref="M17" si="7">L17*5</f>
        <v>80</v>
      </c>
      <c r="N17" s="50">
        <v>100</v>
      </c>
      <c r="O17" s="68" t="s">
        <v>88</v>
      </c>
      <c r="P17" s="37">
        <v>8.9999999999999998E-4</v>
      </c>
      <c r="Q17" s="51">
        <f t="shared" ref="Q17" si="8">P17*N17</f>
        <v>0.09</v>
      </c>
      <c r="R17" s="50"/>
      <c r="S17" s="56"/>
    </row>
    <row r="18" spans="1:19">
      <c r="A18" s="1"/>
      <c r="B18" s="45">
        <f>ROW(B18) - ROW($B$9)</f>
        <v>9</v>
      </c>
      <c r="C18" s="70" t="s">
        <v>14</v>
      </c>
      <c r="D18" s="36" t="s">
        <v>24</v>
      </c>
      <c r="E18" s="36" t="s">
        <v>35</v>
      </c>
      <c r="F18" s="50" t="s">
        <v>86</v>
      </c>
      <c r="G18" s="36" t="s">
        <v>54</v>
      </c>
      <c r="H18" s="36" t="s">
        <v>60</v>
      </c>
      <c r="I18" s="50" t="s">
        <v>87</v>
      </c>
      <c r="J18" s="36" t="s">
        <v>70</v>
      </c>
      <c r="K18" s="36" t="s">
        <v>87</v>
      </c>
      <c r="L18" s="36">
        <v>1</v>
      </c>
      <c r="M18" s="36">
        <f>L18*5</f>
        <v>5</v>
      </c>
      <c r="N18" s="36">
        <v>6</v>
      </c>
      <c r="O18" s="68" t="s">
        <v>88</v>
      </c>
      <c r="P18" s="37">
        <v>0.46039999999999998</v>
      </c>
      <c r="Q18" s="37">
        <f>P18*N18</f>
        <v>2.7624</v>
      </c>
      <c r="R18" s="36"/>
      <c r="S18" s="56"/>
    </row>
    <row r="19" spans="1:19" ht="36.75" thickBot="1">
      <c r="A19" s="1"/>
      <c r="B19" s="46">
        <f t="shared" si="0"/>
        <v>10</v>
      </c>
      <c r="C19" s="71" t="s">
        <v>14</v>
      </c>
      <c r="D19" s="50" t="s">
        <v>25</v>
      </c>
      <c r="E19" s="50" t="s">
        <v>36</v>
      </c>
      <c r="F19" s="50" t="s">
        <v>86</v>
      </c>
      <c r="G19" s="50" t="s">
        <v>45</v>
      </c>
      <c r="H19" s="50" t="s">
        <v>58</v>
      </c>
      <c r="I19" s="50" t="s">
        <v>87</v>
      </c>
      <c r="J19" s="50" t="s">
        <v>71</v>
      </c>
      <c r="K19" s="36" t="s">
        <v>87</v>
      </c>
      <c r="L19" s="50">
        <v>12</v>
      </c>
      <c r="M19" s="50">
        <f t="shared" ref="M19" si="9">L19*5</f>
        <v>60</v>
      </c>
      <c r="N19" s="36">
        <v>80</v>
      </c>
      <c r="O19" s="68" t="s">
        <v>88</v>
      </c>
      <c r="P19" s="37">
        <v>2.1700000000000001E-2</v>
      </c>
      <c r="Q19" s="51">
        <f t="shared" ref="Q19" si="10">P19*N19</f>
        <v>1.736</v>
      </c>
      <c r="R19" s="50"/>
      <c r="S19" s="38"/>
    </row>
    <row r="20" spans="1:19" ht="19.5" thickBot="1">
      <c r="A20" s="1"/>
      <c r="B20" s="39"/>
      <c r="C20" s="40"/>
      <c r="D20" s="41"/>
      <c r="E20" s="42"/>
      <c r="F20" s="43"/>
      <c r="G20" s="44"/>
      <c r="H20" s="43"/>
      <c r="I20" s="44"/>
      <c r="J20" s="43"/>
      <c r="K20" s="44"/>
      <c r="L20" s="44"/>
      <c r="M20" s="44"/>
      <c r="N20" s="65" t="s">
        <v>5</v>
      </c>
      <c r="O20" s="66"/>
      <c r="P20" s="66"/>
      <c r="Q20" s="47">
        <f>SUM(Q10:Q19)</f>
        <v>13.266400000000001</v>
      </c>
      <c r="R20" s="61"/>
      <c r="S20" s="62"/>
    </row>
    <row r="21" spans="1:19" ht="19.5" thickBot="1">
      <c r="A21" s="1"/>
      <c r="B21" s="25"/>
      <c r="C21" s="35"/>
      <c r="D21" s="9"/>
      <c r="E21" s="10"/>
      <c r="F21" s="10"/>
      <c r="G21" s="10"/>
      <c r="H21" s="10"/>
      <c r="I21" s="10"/>
      <c r="J21" s="10"/>
      <c r="K21" s="10"/>
      <c r="L21" s="10"/>
      <c r="M21" s="10"/>
      <c r="N21" s="65" t="s">
        <v>6</v>
      </c>
      <c r="O21" s="66"/>
      <c r="P21" s="66"/>
      <c r="Q21" s="48">
        <f>Q20/5</f>
        <v>2.6532800000000001</v>
      </c>
      <c r="R21" s="63"/>
      <c r="S21" s="64"/>
    </row>
  </sheetData>
  <mergeCells count="5">
    <mergeCell ref="K1:S1"/>
    <mergeCell ref="S3:S8"/>
    <mergeCell ref="R20:S21"/>
    <mergeCell ref="N20:P20"/>
    <mergeCell ref="N21:P21"/>
  </mergeCells>
  <hyperlinks>
    <hyperlink ref="O10" r:id="rId1"/>
    <hyperlink ref="O11" r:id="rId2"/>
    <hyperlink ref="O14" r:id="rId3"/>
    <hyperlink ref="O16" r:id="rId4"/>
    <hyperlink ref="O17" r:id="rId5"/>
    <hyperlink ref="O19" r:id="rId6"/>
    <hyperlink ref="O12" r:id="rId7"/>
    <hyperlink ref="O13" r:id="rId8"/>
    <hyperlink ref="O15" r:id="rId9"/>
    <hyperlink ref="O18" r:id="rId10"/>
  </hyperlinks>
  <pageMargins left="0.7" right="0.7" top="0.75" bottom="0.75" header="0.3" footer="0.3"/>
  <pageSetup paperSize="9" orientation="portrait" r:id="rId11"/>
  <drawing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2023-11-30T09:20:07Z</dcterms:modified>
</cp:coreProperties>
</file>