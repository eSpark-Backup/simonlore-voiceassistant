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simonlore-voiceassistant\Design-Files\Main-Board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K86" i="1" l="1"/>
  <c r="B86" i="1"/>
  <c r="B87" i="1"/>
  <c r="K85" i="1" l="1"/>
  <c r="B85" i="1"/>
  <c r="K84" i="1"/>
  <c r="B84" i="1"/>
  <c r="K83" i="1"/>
  <c r="B83" i="1"/>
  <c r="K82" i="1"/>
  <c r="B82" i="1"/>
  <c r="K81" i="1"/>
  <c r="B81" i="1"/>
  <c r="K80" i="1"/>
  <c r="B80" i="1"/>
  <c r="K79" i="1"/>
  <c r="B79" i="1"/>
  <c r="K78" i="1"/>
  <c r="B78" i="1"/>
  <c r="K77" i="1"/>
  <c r="B77" i="1"/>
  <c r="K76" i="1"/>
  <c r="B76" i="1"/>
  <c r="K75" i="1"/>
  <c r="B75" i="1"/>
  <c r="K74" i="1"/>
  <c r="B74" i="1"/>
  <c r="K73" i="1"/>
  <c r="B73" i="1"/>
  <c r="K72" i="1"/>
  <c r="B72" i="1"/>
  <c r="K71" i="1"/>
  <c r="B71" i="1"/>
  <c r="K70" i="1"/>
  <c r="B70" i="1"/>
  <c r="K69" i="1"/>
  <c r="B69" i="1"/>
  <c r="K68" i="1"/>
  <c r="B68" i="1"/>
  <c r="K67" i="1"/>
  <c r="B67" i="1"/>
  <c r="K66" i="1"/>
  <c r="B66" i="1"/>
  <c r="K65" i="1"/>
  <c r="B65" i="1"/>
  <c r="K64" i="1"/>
  <c r="B64" i="1"/>
  <c r="K63" i="1"/>
  <c r="B63" i="1"/>
  <c r="K62" i="1"/>
  <c r="B62" i="1"/>
  <c r="K61" i="1"/>
  <c r="B61" i="1"/>
  <c r="K60" i="1"/>
  <c r="B60" i="1"/>
  <c r="K59" i="1"/>
  <c r="B59" i="1"/>
  <c r="K58" i="1"/>
  <c r="B58" i="1"/>
  <c r="K57" i="1"/>
  <c r="B57" i="1"/>
  <c r="K56" i="1"/>
  <c r="B56" i="1"/>
  <c r="K55" i="1"/>
  <c r="B55" i="1"/>
  <c r="K54" i="1"/>
  <c r="B54" i="1"/>
  <c r="K53" i="1"/>
  <c r="B53" i="1"/>
  <c r="K52" i="1"/>
  <c r="B52" i="1"/>
  <c r="K51" i="1"/>
  <c r="B51" i="1"/>
  <c r="K50" i="1"/>
  <c r="B50" i="1"/>
  <c r="K49" i="1"/>
  <c r="B49" i="1"/>
  <c r="K48" i="1"/>
  <c r="B48" i="1"/>
  <c r="K47" i="1"/>
  <c r="B47" i="1"/>
  <c r="K46" i="1"/>
  <c r="B46" i="1"/>
  <c r="K45" i="1"/>
  <c r="B45" i="1"/>
  <c r="K44" i="1"/>
  <c r="B44" i="1"/>
  <c r="K43" i="1"/>
  <c r="B43" i="1"/>
  <c r="K42" i="1"/>
  <c r="B42" i="1"/>
  <c r="K41" i="1"/>
  <c r="B41" i="1"/>
  <c r="K40" i="1"/>
  <c r="B40" i="1"/>
  <c r="K39" i="1"/>
  <c r="B39" i="1"/>
  <c r="K38" i="1"/>
  <c r="B38" i="1"/>
  <c r="K37" i="1"/>
  <c r="B37" i="1"/>
  <c r="K36" i="1"/>
  <c r="B36" i="1"/>
  <c r="K35" i="1"/>
  <c r="B35" i="1"/>
  <c r="K34" i="1"/>
  <c r="B34" i="1"/>
  <c r="K33" i="1"/>
  <c r="B33" i="1"/>
  <c r="K32" i="1"/>
  <c r="B32" i="1"/>
  <c r="K31" i="1"/>
  <c r="B31" i="1"/>
  <c r="K30" i="1"/>
  <c r="B30" i="1"/>
  <c r="K29" i="1"/>
  <c r="B29" i="1"/>
  <c r="K28" i="1"/>
  <c r="B28" i="1"/>
  <c r="K27" i="1"/>
  <c r="B27" i="1"/>
  <c r="K26" i="1"/>
  <c r="B26" i="1"/>
  <c r="K25" i="1"/>
  <c r="B25" i="1"/>
  <c r="K24" i="1"/>
  <c r="B24" i="1"/>
  <c r="K23" i="1"/>
  <c r="B23" i="1"/>
  <c r="K22" i="1"/>
  <c r="B22" i="1"/>
  <c r="K21" i="1"/>
  <c r="B21" i="1"/>
  <c r="K20" i="1"/>
  <c r="B20" i="1"/>
  <c r="K19" i="1"/>
  <c r="B19" i="1"/>
  <c r="K18" i="1"/>
  <c r="B18" i="1"/>
  <c r="K17" i="1"/>
  <c r="B17" i="1"/>
  <c r="K16" i="1"/>
  <c r="B16" i="1"/>
  <c r="K15" i="1"/>
  <c r="B15" i="1"/>
  <c r="K14" i="1"/>
  <c r="B14" i="1"/>
  <c r="K13" i="1"/>
  <c r="B13" i="1"/>
  <c r="K12" i="1"/>
  <c r="B12" i="1"/>
  <c r="K11" i="1" l="1"/>
  <c r="K10" i="1"/>
  <c r="B11" i="1"/>
  <c r="B10" i="1"/>
</calcChain>
</file>

<file path=xl/sharedStrings.xml><?xml version="1.0" encoding="utf-8"?>
<sst xmlns="http://schemas.openxmlformats.org/spreadsheetml/2006/main" count="565" uniqueCount="371">
  <si>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</si>
  <si>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</si>
  <si>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</si>
  <si>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</si>
  <si>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</si>
  <si>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</si>
  <si>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</si>
  <si>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</si>
  <si>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Diode</t>
  </si>
  <si>
    <t>Ferrite Bead</t>
  </si>
  <si>
    <t>USB Connector</t>
  </si>
  <si>
    <t>Right Angle JST</t>
  </si>
  <si>
    <t>Connector</t>
  </si>
  <si>
    <t>Male Header</t>
  </si>
  <si>
    <t>SD Card Connector</t>
  </si>
  <si>
    <t>Board / Wire To Wire Connector</t>
  </si>
  <si>
    <t>Inductor</t>
  </si>
  <si>
    <t>LED</t>
  </si>
  <si>
    <t>TEST POINT</t>
  </si>
  <si>
    <t>MOSFET</t>
  </si>
  <si>
    <t>Resistor</t>
  </si>
  <si>
    <t>Solder Bridge</t>
  </si>
  <si>
    <t>Switch</t>
  </si>
  <si>
    <t>IC</t>
  </si>
  <si>
    <t>Module</t>
  </si>
  <si>
    <t>Microphone</t>
  </si>
  <si>
    <t>Crystal</t>
  </si>
  <si>
    <t>Designator</t>
  </si>
  <si>
    <t>C1, C7, C8, C11, C12, C13, C16, C17, C59, C60, C69, C70, C81, C89, C92</t>
  </si>
  <si>
    <t>C2</t>
  </si>
  <si>
    <t>C3, C19, C20, C51, C52</t>
  </si>
  <si>
    <t>C6</t>
  </si>
  <si>
    <t>C10, C22</t>
  </si>
  <si>
    <t>C18</t>
  </si>
  <si>
    <t>C42, C43</t>
  </si>
  <si>
    <t>C45, C47, C48, C49, C50, C61, C62, C67, C68, C83, C84, C85, C93</t>
  </si>
  <si>
    <t>C55, C56, C79, C80</t>
  </si>
  <si>
    <t>C57, C58, C71, C72</t>
  </si>
  <si>
    <t>C63, C64</t>
  </si>
  <si>
    <t>C65, C66</t>
  </si>
  <si>
    <t>C75, C76, C77, C78</t>
  </si>
  <si>
    <t>C95</t>
  </si>
  <si>
    <t>D1</t>
  </si>
  <si>
    <t>D2</t>
  </si>
  <si>
    <t>D3, D4</t>
  </si>
  <si>
    <t>D5, D6, D7, D8, D9, D10, D11</t>
  </si>
  <si>
    <t>FB1, FB3, FB4, FB5, FB6, FB7, FB8, FB9, FB10</t>
  </si>
  <si>
    <t>FB2</t>
  </si>
  <si>
    <t>J1</t>
  </si>
  <si>
    <t>J2, J6, J7</t>
  </si>
  <si>
    <t>J3</t>
  </si>
  <si>
    <t>J4</t>
  </si>
  <si>
    <t>J5</t>
  </si>
  <si>
    <t>J8</t>
  </si>
  <si>
    <t>J9, J10, J11</t>
  </si>
  <si>
    <t>L1, L2, L3</t>
  </si>
  <si>
    <t>L4, L5, L6, L7</t>
  </si>
  <si>
    <t>LED1, LED3</t>
  </si>
  <si>
    <t>LED2</t>
  </si>
  <si>
    <t>P1, P2, P3, P4, P5, P6, P7, P8, P9, P10, P11, P12, P13, P14, P15, P16, P17, P18, P19, P20, P21, P22, P23, P24, P25, P26, P27</t>
  </si>
  <si>
    <t>Q1, Q2</t>
  </si>
  <si>
    <t>Q3</t>
  </si>
  <si>
    <t>Q4, Q5</t>
  </si>
  <si>
    <t>R1, R2, R28, R36, R72, R73, R74, R89, R90, R91, R92, R148</t>
  </si>
  <si>
    <t>R3</t>
  </si>
  <si>
    <t>R4, R6, R7, R15, R16, R26, R27, R31, R38, R66, R68, R69, R70, R71, R129, R130, R131, R132, R133, R134, R135, R137, R139, R144, R145</t>
  </si>
  <si>
    <t>R5, R17</t>
  </si>
  <si>
    <t>R8, R18, R146</t>
  </si>
  <si>
    <t>R9, R19, R147</t>
  </si>
  <si>
    <t>R10, R23, R29, R39, R40</t>
  </si>
  <si>
    <t>R11, R12, R13, R14</t>
  </si>
  <si>
    <t>R20, R21</t>
  </si>
  <si>
    <t>R22</t>
  </si>
  <si>
    <t>R24</t>
  </si>
  <si>
    <t>R25</t>
  </si>
  <si>
    <t>R30, R32, R33, R34, R37, R41, R42, R43, R44, R45, R46, R47, R48, R49, R50, R51, R52, R53, R54, R55, R56, R57, R58, R59, R60, R61, R62, R63, R64, R65, R67</t>
  </si>
  <si>
    <t>R35, R112, R113, R114, R116</t>
  </si>
  <si>
    <t>R75, R76, R77, R78, R79, R80, R81, R82, R83, R84, R85, R86, R87, R88, R93, R94, R95, R96, R97, R98, R99, R100, R101, R102, R103, R104, R105, R106, R107, R108, R136, R138, R140, R141, R142, R143</t>
  </si>
  <si>
    <t>R109</t>
  </si>
  <si>
    <t>R110, R111</t>
  </si>
  <si>
    <t>R115</t>
  </si>
  <si>
    <t>R117, R128</t>
  </si>
  <si>
    <t>R118, R119</t>
  </si>
  <si>
    <t>R120</t>
  </si>
  <si>
    <t>R121</t>
  </si>
  <si>
    <t>R122, R124</t>
  </si>
  <si>
    <t>R123, R125</t>
  </si>
  <si>
    <t>R126, R127</t>
  </si>
  <si>
    <t>SB1</t>
  </si>
  <si>
    <t>SW1, SW2</t>
  </si>
  <si>
    <t>U1</t>
  </si>
  <si>
    <t>U2</t>
  </si>
  <si>
    <t>U3, U4, U5, U16</t>
  </si>
  <si>
    <t>U6</t>
  </si>
  <si>
    <t>U7</t>
  </si>
  <si>
    <t>U8</t>
  </si>
  <si>
    <t>U9</t>
  </si>
  <si>
    <t>U10</t>
  </si>
  <si>
    <t>U11, U12</t>
  </si>
  <si>
    <t>U13, U14, U15</t>
  </si>
  <si>
    <t>U17</t>
  </si>
  <si>
    <t>U18</t>
  </si>
  <si>
    <t>X1</t>
  </si>
  <si>
    <t>Description</t>
  </si>
  <si>
    <t>CAP CER 10UF 16V X5R 0603</t>
  </si>
  <si>
    <t>CAP CER 10000PF 50V C0G/NPO 0603</t>
  </si>
  <si>
    <t>CAP CER 22UF 16V X5R 0805</t>
  </si>
  <si>
    <t>CAP CER 0.1UF 16V X5R 0402</t>
  </si>
  <si>
    <t>CAP CER 22UF 10V X5R 0603</t>
  </si>
  <si>
    <t>CAP TANT 100UF 20% 25V 2917</t>
  </si>
  <si>
    <t>CAP CER 4700PF 1KV X7R 1206</t>
  </si>
  <si>
    <t>CAP CER 18PF 50V C0G/NPO 0603</t>
  </si>
  <si>
    <t>CAP CER 1UF 25V X5R 0402</t>
  </si>
  <si>
    <t>CAP CER 39PF 50V C0G/NPO 0402</t>
  </si>
  <si>
    <t>470uF 16V ±20% SMD,D6.3xL7.7mm Aluminum Electrolytic Capacitors - SMD ROHS</t>
  </si>
  <si>
    <t>CAP CER 1000PF 25V C0G/NPO 0603</t>
  </si>
  <si>
    <t>CAP CER 3300PF 50V C0G/NPO 0603</t>
  </si>
  <si>
    <t>CAP CER 330PF 50V C0G/NPO 0603</t>
  </si>
  <si>
    <t>CAP CER 0.22UF 25V X5R 0402</t>
  </si>
  <si>
    <t>SOD-523 ESD Protection Devices ROHS</t>
  </si>
  <si>
    <t>DIODE SCHOTTKY 40V 1A SOD123</t>
  </si>
  <si>
    <t>0.5mA@40V 40V Single 3A 0.55V@3A SMA(DO-214AC) Schottky Barrier Diodes (SBD) ROHS</t>
  </si>
  <si>
    <t>5V 10V 3.3V Bi-Directional SOD-882 ESD Protection Devices ROHS</t>
  </si>
  <si>
    <t>FERRITE BEAD 120 OHM 0603 1LN</t>
  </si>
  <si>
    <t>FERRITE BEAD 120 OHM 1206 1LN</t>
  </si>
  <si>
    <t>USB 3.1 1 Surface Mount 6 Female -25℃~+85℃ Type-C SMD USB Connectors ROHS</t>
  </si>
  <si>
    <t>1x2P 1 2mm Male pin 2 -25℃~+85℃ 2A Surface Mount SMD,P=2mm Wire To Board / Wire To Wire Connector ROHS</t>
  </si>
  <si>
    <t>1x6P SH 1 1mm 6 SMD,P=1mm Wire To Board / Wire To Wire Connector ROHS</t>
  </si>
  <si>
    <t>Gold 250V 3A Straight Square Pins 2.5mm 2P 260℃ 6mm -40℃~+105℃ 3mm 2.54mm Plugin Black Brass 1x2P Plugin,P=2.54mm Pin Headers ROHS</t>
  </si>
  <si>
    <t>-20℃~+70℃ 3.5mm headphone jack 235℃ 12V 0.5A SMD Audio Connectors ROHS</t>
  </si>
  <si>
    <t>CONN MICRO SD CARD PUSH-PUSH R/A</t>
  </si>
  <si>
    <t>1x9P 1 Tin 1mm male 9 260℃ -25℃~+85℃ Brass 1A Surface Mount SMD,P=1mm Wire To Board / Wire To Wire Connector ROHS</t>
  </si>
  <si>
    <t>4.5A 4.7uH ±20% SMD,10.1x10.1mm Power Inductors ROHS</t>
  </si>
  <si>
    <t>3.6A 33uH Shielded Power Inductors ±20% 4.25A SMD,12.5x12.5mm Power Inductors ROHS</t>
  </si>
  <si>
    <t>RED LED 0603 Light Emitting Diodes</t>
  </si>
  <si>
    <t>Emerald 0603 Light Emitting Diodes (LED) ROHS</t>
  </si>
  <si>
    <t>Test Point ON</t>
  </si>
  <si>
    <t>MOSFET P-CH 12V 16A 8SO</t>
  </si>
  <si>
    <t>25V 300mW 120@100mA,1V 1.5A NPN SOT-23 Bipolar Transistors - BJT ROHS</t>
  </si>
  <si>
    <t>50V 0.2A 225mW 3.5Ω@5V,200mA N Channel SOT-23 MOSFETs ROHS</t>
  </si>
  <si>
    <t>RES 100K OHM 1% 1/16W 0402</t>
  </si>
  <si>
    <t>2W Thick Film Resistors ±200ppm/℃ ±1% 0Ω 2512 Chip Resistor - Surface Mount ROHS</t>
  </si>
  <si>
    <t>RES 10K OHM 1% 1/16W 0402</t>
  </si>
  <si>
    <t>RES 0 OHM JUMPER 1/16W 0402</t>
  </si>
  <si>
    <t>RES SMD 52.3KOHM 0.1% 1/16W 0402</t>
  </si>
  <si>
    <t>RES SMD 30.1KOHM 0.1% 1/16W 0402</t>
  </si>
  <si>
    <t>RES 1K OHM 1% 1/16W 0402</t>
  </si>
  <si>
    <t>RES 0 OHM JUMPER 1/8W 0805</t>
  </si>
  <si>
    <t>RES 5.1K OHM 1% 1/16W 0402</t>
  </si>
  <si>
    <t>RES SMD 1M OHM 1% 1/10W 0603</t>
  </si>
  <si>
    <t>RES SMD 316 OHM 0.1% 1/8W 0805</t>
  </si>
  <si>
    <t>RES 1K OHM 1% 1/8W 0805</t>
  </si>
  <si>
    <t>RES SMD 0 OHM JUMPER 1/20W 0201</t>
  </si>
  <si>
    <t>RES 0 OHM JUMPER 1/10W 0603</t>
  </si>
  <si>
    <t>RES 33 OHM 1% 1/20W 0201</t>
  </si>
  <si>
    <t>RES 3.3K OHM 1% 1/20W 0201</t>
  </si>
  <si>
    <t>RES 56K OHM 1% 1/16W 0402</t>
  </si>
  <si>
    <t>RES 22.1K OHM 1% 1/10W 0603</t>
  </si>
  <si>
    <t>RES 1 OHM 1% 1/10W 0603</t>
  </si>
  <si>
    <t>RES SMD 18K OHM 0.1% 1/16W 0402</t>
  </si>
  <si>
    <t>RES SMD 28K OHM 0.1% 1/16W 0402</t>
  </si>
  <si>
    <t>RES SMD 510K OHM 0.1% 1/10W 0603</t>
  </si>
  <si>
    <t>RES SMD 110K OHM 0.1% 1/10W 0603</t>
  </si>
  <si>
    <t>RES 30K OHM 1% 1/16W 0402</t>
  </si>
  <si>
    <t>Solder Bridge ON</t>
  </si>
  <si>
    <t>No NO 50mA 4.5mm 100000 260gf 12V -30℃~+85℃ 4.5mm 4.3mm Black Round Button Brick nogging SPST SMD Tactile Switches ROHS</t>
  </si>
  <si>
    <t>IC REG LINEAR 3.3V 1A SOT223-6</t>
  </si>
  <si>
    <t>IC CNTRLR ON/OFF W/DEB TSOT23-6</t>
  </si>
  <si>
    <t>IC REG LIN POS ADJ 400MA SOT23-5</t>
  </si>
  <si>
    <t>4V~6V Polymer 1 3.5A SOP-8-EP Battery Management ICs ROHS</t>
  </si>
  <si>
    <t>IC SUPERVISOR 1 CHANNEL SOT23-3</t>
  </si>
  <si>
    <t>RF TXRX MODULE BT PCB TRACE SMD</t>
  </si>
  <si>
    <t>IC AUDIO SIGNAL PROCESSOR 64QFN</t>
  </si>
  <si>
    <t>IC FLASH 16MBIT SPI/QUAD 8SOIC</t>
  </si>
  <si>
    <t>SOP8L-PP Audio Power OpAmps ROHS</t>
  </si>
  <si>
    <t>MIC MEMS DIGITAL PDM OMNI -26DB</t>
  </si>
  <si>
    <t>IC XPNDR 100KHZ I2C 20TSSOP</t>
  </si>
  <si>
    <t>IC LED DRVR LIN PWM 20MA 28QFN</t>
  </si>
  <si>
    <t>12MHz 18pF ±10ppm SMD2520-4P Crystals ROHS</t>
  </si>
  <si>
    <t>Footprint</t>
  </si>
  <si>
    <t>Cap-0603</t>
  </si>
  <si>
    <t>Cap-0805</t>
  </si>
  <si>
    <t>Cap-0402</t>
  </si>
  <si>
    <t>Case-E</t>
  </si>
  <si>
    <t>Cap-1206</t>
  </si>
  <si>
    <t>RVT1C471M0607</t>
  </si>
  <si>
    <t>CAP-0603</t>
  </si>
  <si>
    <t>SOD-523</t>
  </si>
  <si>
    <t>SOD-123</t>
  </si>
  <si>
    <t>SMA</t>
  </si>
  <si>
    <t>SOD-882</t>
  </si>
  <si>
    <t>IND-0603 (1608 Metric)</t>
  </si>
  <si>
    <t>IND-1206</t>
  </si>
  <si>
    <t>U262-061N-4BVC11</t>
  </si>
  <si>
    <t>WAFER-PH2.0-2PWB</t>
  </si>
  <si>
    <t>DM3BT-DSF-PEJS</t>
  </si>
  <si>
    <t>X1002WRS-09E-LPSWHF</t>
  </si>
  <si>
    <t>YSLF1045-4R7M</t>
  </si>
  <si>
    <t>SMDRI129-330MT</t>
  </si>
  <si>
    <t>LED-0603</t>
  </si>
  <si>
    <t>Test-point</t>
  </si>
  <si>
    <t>SOP-8</t>
  </si>
  <si>
    <t>SOT-23</t>
  </si>
  <si>
    <t>Res-0402</t>
  </si>
  <si>
    <t>RES-2512</t>
  </si>
  <si>
    <t>Res-0805</t>
  </si>
  <si>
    <t>Res-0603</t>
  </si>
  <si>
    <t>RES-0805</t>
  </si>
  <si>
    <t>Res-0201</t>
  </si>
  <si>
    <t>Solder Bridge 0402</t>
  </si>
  <si>
    <t>TS-1109S-C-B</t>
  </si>
  <si>
    <t>SOT-223-6_</t>
  </si>
  <si>
    <t>TSOT-23-6</t>
  </si>
  <si>
    <t>SOT-23-5</t>
  </si>
  <si>
    <t>8-SO-EP_</t>
  </si>
  <si>
    <t>38-SMD Module</t>
  </si>
  <si>
    <t>QFN-64-EP(9x9)</t>
  </si>
  <si>
    <t>MP34DT06JTR</t>
  </si>
  <si>
    <t>TSSOP-20</t>
  </si>
  <si>
    <t>QFN-28-EP(4x4)</t>
  </si>
  <si>
    <t>Manufacturer Part Number</t>
  </si>
  <si>
    <t>CC0603KRX5R7BB106</t>
  </si>
  <si>
    <t>CC0603JRNPO9BN103</t>
  </si>
  <si>
    <t>CL21A226MOCLRNC</t>
  </si>
  <si>
    <t>CC0402KRX5R7BB104</t>
  </si>
  <si>
    <t>CC0603MRX5R6BB226</t>
  </si>
  <si>
    <t>TAJE107M025RNJ</t>
  </si>
  <si>
    <t>CC1206KKX7RCBB472</t>
  </si>
  <si>
    <t>CC0603JRNPO9BN180</t>
  </si>
  <si>
    <t>CC0402KRX5R8BB105</t>
  </si>
  <si>
    <t>CC0402FRNPO9BN390</t>
  </si>
  <si>
    <t>CC0603JRNPO8BN102</t>
  </si>
  <si>
    <t>CC0603JRNPO9BN332</t>
  </si>
  <si>
    <t>CC0603JRNPO9BN331</t>
  </si>
  <si>
    <t>CC0402KRX5R8BB224</t>
  </si>
  <si>
    <t>LESD5D5.0CT1G</t>
  </si>
  <si>
    <t>1N5819HW-7-F</t>
  </si>
  <si>
    <t>SS34</t>
  </si>
  <si>
    <t>LESD8D3.3CAT5G</t>
  </si>
  <si>
    <t>BLM18SG121TZ1D</t>
  </si>
  <si>
    <t>BLM31KN121SZ1L</t>
  </si>
  <si>
    <t>C145963</t>
  </si>
  <si>
    <t>X6511WV-02H-C60D30</t>
  </si>
  <si>
    <t>PJ-342B-TX-SMT</t>
  </si>
  <si>
    <t>NCD0603R3</t>
  </si>
  <si>
    <t>NCD0603G2</t>
  </si>
  <si>
    <t>IRF7410TRPBF</t>
  </si>
  <si>
    <t>SS8050-G</t>
  </si>
  <si>
    <t>LBSS138LT1G</t>
  </si>
  <si>
    <t>RC0402FR-07100KL</t>
  </si>
  <si>
    <t>FRP2512F0000TS</t>
  </si>
  <si>
    <t>RC0402FR-0710KL</t>
  </si>
  <si>
    <t>RC0402FR-070RL</t>
  </si>
  <si>
    <t>RT0402BRD0752K3L</t>
  </si>
  <si>
    <t>RT0402BRD0730K1L</t>
  </si>
  <si>
    <t>RC0402FR-071KL</t>
  </si>
  <si>
    <t>RC0805FR-070RL</t>
  </si>
  <si>
    <t>RC0402FR-075K1L</t>
  </si>
  <si>
    <t>RC0603FR-071ML</t>
  </si>
  <si>
    <t>RT0805BRD07316RL</t>
  </si>
  <si>
    <t>RC0805FR-071KL</t>
  </si>
  <si>
    <t>RC0201JR-070RL</t>
  </si>
  <si>
    <t>RC0603JR-070RL</t>
  </si>
  <si>
    <t>RC0201FR-0733RL</t>
  </si>
  <si>
    <t>RC0201FR-073K3L</t>
  </si>
  <si>
    <t>RC0402FR-0756KL</t>
  </si>
  <si>
    <t>RC0603FR-0722K1L</t>
  </si>
  <si>
    <t>RC0603FR-071RL</t>
  </si>
  <si>
    <t>RT0402BRD0718KL</t>
  </si>
  <si>
    <t>RT0402BRD0728KL</t>
  </si>
  <si>
    <t>RT0603BRD07510KL</t>
  </si>
  <si>
    <t>RT0603BRE07110KL</t>
  </si>
  <si>
    <t>RC0402FR-0730KL</t>
  </si>
  <si>
    <t>TPS79633DCQR</t>
  </si>
  <si>
    <t>MAX16054AZT+T</t>
  </si>
  <si>
    <t>TPS73601DBVR</t>
  </si>
  <si>
    <t>SLM6600</t>
  </si>
  <si>
    <t>CAT809RTBI-GT3</t>
  </si>
  <si>
    <t>ESP32-WROVER-E-N16R8</t>
  </si>
  <si>
    <t>ZL38063LDG1</t>
  </si>
  <si>
    <t>W25Q16JVSNIQ</t>
  </si>
  <si>
    <t>HT8691RSPER</t>
  </si>
  <si>
    <t>PCF8574APWR</t>
  </si>
  <si>
    <t>IS31FL3216A-QFLS3-TR</t>
  </si>
  <si>
    <t>2TJ412000XYGBC</t>
  </si>
  <si>
    <t>Manufacturer</t>
  </si>
  <si>
    <t>Yageo</t>
  </si>
  <si>
    <t>Samsung</t>
  </si>
  <si>
    <t>Kyocera AVX</t>
  </si>
  <si>
    <t>ROQANG</t>
  </si>
  <si>
    <t>UMW</t>
  </si>
  <si>
    <t>Diodes</t>
  </si>
  <si>
    <t>MDD</t>
  </si>
  <si>
    <t>LRC</t>
  </si>
  <si>
    <t>Murata</t>
  </si>
  <si>
    <t>XKB</t>
  </si>
  <si>
    <t>XUNPU</t>
  </si>
  <si>
    <t>BOOMELE</t>
  </si>
  <si>
    <t>XKB Connectivity</t>
  </si>
  <si>
    <t>Hirose</t>
  </si>
  <si>
    <t>YJYCOIN</t>
  </si>
  <si>
    <t>SXN</t>
  </si>
  <si>
    <t>Foshan NationStar Optoelectronics</t>
  </si>
  <si>
    <t>Infineon</t>
  </si>
  <si>
    <t>Jiangsu Changjing Electronics Technology</t>
  </si>
  <si>
    <t>FOJAN</t>
  </si>
  <si>
    <t>Texas Instruments</t>
  </si>
  <si>
    <t>Maxim</t>
  </si>
  <si>
    <t>SOLA-IC</t>
  </si>
  <si>
    <t>ON Semiconductor</t>
  </si>
  <si>
    <t>Espressif Systems</t>
  </si>
  <si>
    <t>Microchip</t>
  </si>
  <si>
    <t>Winbond</t>
  </si>
  <si>
    <t>Jiaxing Heroic Elec Tech</t>
  </si>
  <si>
    <t>STMicroelectronics</t>
  </si>
  <si>
    <t>ISSI</t>
  </si>
  <si>
    <t>JYJE</t>
  </si>
  <si>
    <t>10uF</t>
  </si>
  <si>
    <t>10nF</t>
  </si>
  <si>
    <t>22uF</t>
  </si>
  <si>
    <t>100nF</t>
  </si>
  <si>
    <t>100uF</t>
  </si>
  <si>
    <t>4.7nF</t>
  </si>
  <si>
    <t>18pF</t>
  </si>
  <si>
    <t>1uF</t>
  </si>
  <si>
    <t>39pF</t>
  </si>
  <si>
    <t>470uF</t>
  </si>
  <si>
    <t>1nF</t>
  </si>
  <si>
    <t>3.3nF</t>
  </si>
  <si>
    <t>330pF</t>
  </si>
  <si>
    <t>220nF</t>
  </si>
  <si>
    <t>4.7uH</t>
  </si>
  <si>
    <t>33uH</t>
  </si>
  <si>
    <t>100K</t>
  </si>
  <si>
    <t>0R</t>
  </si>
  <si>
    <t>10K</t>
  </si>
  <si>
    <t>52.3K</t>
  </si>
  <si>
    <t>30.1K</t>
  </si>
  <si>
    <t>1K</t>
  </si>
  <si>
    <t>5.1K</t>
  </si>
  <si>
    <t>1M</t>
  </si>
  <si>
    <t>316R</t>
  </si>
  <si>
    <t>33R</t>
  </si>
  <si>
    <t>3.3K</t>
  </si>
  <si>
    <t>56k</t>
  </si>
  <si>
    <t>22.1K</t>
  </si>
  <si>
    <t>DNP</t>
  </si>
  <si>
    <t>1R</t>
  </si>
  <si>
    <t>18K</t>
  </si>
  <si>
    <t>28K</t>
  </si>
  <si>
    <t>510K</t>
  </si>
  <si>
    <t>110K</t>
  </si>
  <si>
    <t>30K</t>
  </si>
  <si>
    <t>12MHz</t>
  </si>
  <si>
    <t>Quantity</t>
  </si>
  <si>
    <t>Value</t>
  </si>
  <si>
    <t>Quantity (5 Boards)</t>
  </si>
  <si>
    <t>Links</t>
  </si>
  <si>
    <t>Remarks</t>
  </si>
  <si>
    <t>Reviewer Remarks</t>
  </si>
  <si>
    <t>Bill of Materials for Project [Main-Board-v1.0.]</t>
  </si>
  <si>
    <t>Main-Board-v1.0.</t>
  </si>
  <si>
    <t>Custom</t>
  </si>
  <si>
    <t>-</t>
  </si>
  <si>
    <t>DO NOT Place</t>
  </si>
  <si>
    <t xml:space="preserve">  </t>
  </si>
  <si>
    <t>Peripheral</t>
  </si>
  <si>
    <t>Battery</t>
  </si>
  <si>
    <t>Polymer lithium battery, 906090 mobile power charging treasure</t>
  </si>
  <si>
    <t>Speaker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</si>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</sst>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7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charset val="134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7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23" fillId="2" borderId="16" xfId="1" applyFill="1" applyBorder="1" applyAlignment="1">
      <alignment horizontal="center" vertical="center" wrapText="1"/>
    </xf>
    <xf numFmtId="0" fontId="23" fillId="2" borderId="17" xfId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4" fillId="2" borderId="20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5" fillId="2" borderId="20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3" fillId="0" borderId="0" xfId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9525</xdr:colOff>
      <xdr:row>2</xdr:row>
      <xdr:rowOff>10417</xdr:rowOff>
    </xdr:from>
    <xdr:to>
      <xdr:col>13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.aliexpress.com/item/32824237225.html?gatewayAdapt=glo2v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89"/>
  <sheetViews>
    <sheetView tabSelected="1" topLeftCell="A67" workbookViewId="0">
      <selection activeCell="H58" sqref="H58"/>
    </sheetView>
  </sheetViews>
  <sheetFormatPr defaultRowHeight="1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8.28515625" bestFit="1" customWidth="1"/>
    <col min="12" max="12" width="10.28515625" bestFit="1" customWidth="1"/>
    <col min="13" max="13" width="11" bestFit="1" customWidth="1"/>
    <col min="14" max="14" width="26.85546875" bestFit="1" customWidth="1"/>
  </cols>
  <sheetData>
    <row r="1" spans="1:14" ht="15.75" thickBot="1">
      <c r="A1" s="1"/>
      <c r="B1" s="20"/>
      <c r="C1" s="20"/>
      <c r="D1" s="2"/>
      <c r="E1" s="2"/>
      <c r="F1" s="2"/>
      <c r="G1" s="2"/>
      <c r="H1" s="2"/>
      <c r="I1" s="68"/>
      <c r="J1" s="68"/>
      <c r="K1" s="68"/>
      <c r="L1" s="68"/>
      <c r="M1" s="68"/>
      <c r="N1" s="69"/>
    </row>
    <row r="2" spans="1:14" ht="32.25" thickBot="1">
      <c r="A2" s="1"/>
      <c r="B2" s="21"/>
      <c r="C2" s="30"/>
      <c r="D2" s="11" t="s">
        <v>0</v>
      </c>
      <c r="E2" s="11"/>
      <c r="F2" s="48" t="s">
        <v>360</v>
      </c>
      <c r="G2" s="12"/>
      <c r="H2" s="4"/>
      <c r="I2" s="4"/>
      <c r="J2" s="4"/>
      <c r="K2" s="4"/>
      <c r="L2" s="4"/>
      <c r="M2" s="4"/>
      <c r="N2" s="3"/>
    </row>
    <row r="3" spans="1:14">
      <c r="A3" s="1"/>
      <c r="B3" s="22"/>
      <c r="C3" s="31"/>
      <c r="D3" s="13" t="s">
        <v>1</v>
      </c>
      <c r="E3" s="13"/>
      <c r="F3" s="49" t="s">
        <v>361</v>
      </c>
      <c r="G3" s="13"/>
      <c r="H3" s="5"/>
      <c r="I3" s="5"/>
      <c r="J3" s="5"/>
      <c r="K3" s="5"/>
      <c r="L3" s="5"/>
      <c r="M3" s="5"/>
      <c r="N3" s="70"/>
    </row>
    <row r="4" spans="1:14">
      <c r="A4" s="1"/>
      <c r="B4" s="22"/>
      <c r="C4" s="31"/>
      <c r="D4" s="13" t="s">
        <v>2</v>
      </c>
      <c r="E4" s="13"/>
      <c r="F4" s="49" t="s">
        <v>361</v>
      </c>
      <c r="G4" s="14"/>
      <c r="H4" s="7"/>
      <c r="I4" s="7"/>
      <c r="J4" s="6"/>
      <c r="K4" s="6"/>
      <c r="L4" s="6"/>
      <c r="M4" s="6"/>
      <c r="N4" s="71"/>
    </row>
    <row r="5" spans="1:14">
      <c r="A5" s="1"/>
      <c r="B5" s="22"/>
      <c r="C5" s="31"/>
      <c r="D5" s="13" t="s">
        <v>3</v>
      </c>
      <c r="E5" s="13"/>
      <c r="F5" s="50" t="s">
        <v>5</v>
      </c>
      <c r="G5" s="15"/>
      <c r="H5" s="6"/>
      <c r="I5" s="6"/>
      <c r="J5" s="6"/>
      <c r="K5" s="6"/>
      <c r="L5" s="6"/>
      <c r="M5" s="6"/>
      <c r="N5" s="71"/>
    </row>
    <row r="6" spans="1:14">
      <c r="A6" s="1"/>
      <c r="B6" s="23"/>
      <c r="C6" s="32"/>
      <c r="D6" s="16"/>
      <c r="E6" s="16"/>
      <c r="F6" s="17"/>
      <c r="G6" s="15"/>
      <c r="H6" s="6"/>
      <c r="I6" s="6"/>
      <c r="J6" s="6"/>
      <c r="K6" s="6"/>
      <c r="L6" s="6"/>
      <c r="M6" s="6"/>
      <c r="N6" s="71"/>
    </row>
    <row r="7" spans="1:14">
      <c r="A7" s="1"/>
      <c r="B7" s="24"/>
      <c r="C7" s="33"/>
      <c r="D7" s="18"/>
      <c r="E7" s="18"/>
      <c r="F7" s="19"/>
      <c r="G7" s="18"/>
      <c r="H7" s="8"/>
      <c r="I7" s="8"/>
      <c r="J7" s="8"/>
      <c r="K7" s="8"/>
      <c r="L7" s="8"/>
      <c r="M7" s="8"/>
      <c r="N7" s="71"/>
    </row>
    <row r="8" spans="1:14" ht="15.75" thickBot="1">
      <c r="A8" s="1"/>
      <c r="B8" s="27"/>
      <c r="C8" s="34"/>
      <c r="D8" s="28"/>
      <c r="E8" s="28"/>
      <c r="F8" s="29"/>
      <c r="G8" s="18"/>
      <c r="H8" s="8"/>
      <c r="I8" s="8"/>
      <c r="J8" s="8"/>
      <c r="K8" s="8"/>
      <c r="L8" s="8"/>
      <c r="M8" s="8"/>
      <c r="N8" s="71"/>
    </row>
    <row r="9" spans="1:14" ht="15.75" thickBot="1">
      <c r="A9" s="1"/>
      <c r="B9" s="52" t="s">
        <v>4</v>
      </c>
      <c r="C9" s="52" t="s">
        <v>6</v>
      </c>
      <c r="D9" s="52" t="s">
        <v>27</v>
      </c>
      <c r="E9" s="52" t="s">
        <v>103</v>
      </c>
      <c r="F9" s="52" t="s">
        <v>179</v>
      </c>
      <c r="G9" s="52" t="s">
        <v>220</v>
      </c>
      <c r="H9" s="52" t="s">
        <v>285</v>
      </c>
      <c r="I9" s="52" t="s">
        <v>355</v>
      </c>
      <c r="J9" s="52" t="s">
        <v>354</v>
      </c>
      <c r="K9" s="52" t="s">
        <v>356</v>
      </c>
      <c r="L9" s="52" t="s">
        <v>357</v>
      </c>
      <c r="M9" s="52" t="s">
        <v>358</v>
      </c>
      <c r="N9" s="52" t="s">
        <v>359</v>
      </c>
    </row>
    <row r="10" spans="1:14" ht="24">
      <c r="A10" s="1"/>
      <c r="B10" s="44">
        <f>ROW(B10) - ROW($B$9)</f>
        <v>1</v>
      </c>
      <c r="C10" s="53" t="s">
        <v>7</v>
      </c>
      <c r="D10" s="36" t="s">
        <v>28</v>
      </c>
      <c r="E10" s="36" t="s">
        <v>104</v>
      </c>
      <c r="F10" s="36" t="s">
        <v>180</v>
      </c>
      <c r="G10" s="36" t="s">
        <v>221</v>
      </c>
      <c r="H10" s="36" t="s">
        <v>286</v>
      </c>
      <c r="I10" s="36" t="s">
        <v>317</v>
      </c>
      <c r="J10" s="36">
        <v>15</v>
      </c>
      <c r="K10" s="36">
        <f>J10*5</f>
        <v>75</v>
      </c>
      <c r="L10" s="55"/>
      <c r="M10" s="36"/>
      <c r="N10" s="46"/>
    </row>
    <row r="11" spans="1:14">
      <c r="A11" s="1"/>
      <c r="B11" s="45">
        <f t="shared" ref="B11:B86" si="0">ROW(B11) - ROW($B$9)</f>
        <v>2</v>
      </c>
      <c r="C11" s="54" t="s">
        <v>7</v>
      </c>
      <c r="D11" s="47" t="s">
        <v>29</v>
      </c>
      <c r="E11" s="47" t="s">
        <v>105</v>
      </c>
      <c r="F11" s="47" t="s">
        <v>180</v>
      </c>
      <c r="G11" s="47" t="s">
        <v>222</v>
      </c>
      <c r="H11" s="47" t="s">
        <v>286</v>
      </c>
      <c r="I11" s="47" t="s">
        <v>318</v>
      </c>
      <c r="J11" s="47">
        <v>1</v>
      </c>
      <c r="K11" s="47">
        <f t="shared" ref="K11" si="1">J11*5</f>
        <v>5</v>
      </c>
      <c r="L11" s="56"/>
      <c r="M11" s="47"/>
      <c r="N11" s="47"/>
    </row>
    <row r="12" spans="1:14">
      <c r="A12" s="1"/>
      <c r="B12" s="44">
        <f>ROW(B12) - ROW($B$9)</f>
        <v>3</v>
      </c>
      <c r="C12" s="53" t="s">
        <v>7</v>
      </c>
      <c r="D12" s="36" t="s">
        <v>30</v>
      </c>
      <c r="E12" s="36" t="s">
        <v>106</v>
      </c>
      <c r="F12" s="36" t="s">
        <v>181</v>
      </c>
      <c r="G12" s="36" t="s">
        <v>223</v>
      </c>
      <c r="H12" s="36" t="s">
        <v>287</v>
      </c>
      <c r="I12" s="36" t="s">
        <v>319</v>
      </c>
      <c r="J12" s="36">
        <v>5</v>
      </c>
      <c r="K12" s="36">
        <f>J12*5</f>
        <v>25</v>
      </c>
      <c r="L12" s="55"/>
      <c r="M12" s="36"/>
      <c r="N12" s="51"/>
    </row>
    <row r="13" spans="1:14">
      <c r="A13" s="1"/>
      <c r="B13" s="45">
        <f t="shared" si="0"/>
        <v>4</v>
      </c>
      <c r="C13" s="53" t="s">
        <v>7</v>
      </c>
      <c r="D13" s="47" t="s">
        <v>365</v>
      </c>
      <c r="E13" s="47" t="s">
        <v>107</v>
      </c>
      <c r="F13" s="47" t="s">
        <v>182</v>
      </c>
      <c r="G13" s="47" t="s">
        <v>224</v>
      </c>
      <c r="H13" s="47" t="s">
        <v>286</v>
      </c>
      <c r="I13" s="47" t="s">
        <v>320</v>
      </c>
      <c r="J13" s="47">
        <v>39</v>
      </c>
      <c r="K13" s="47">
        <f t="shared" ref="K13" si="2">J13*5</f>
        <v>195</v>
      </c>
      <c r="L13" s="56"/>
      <c r="M13" s="47"/>
      <c r="N13" s="51"/>
    </row>
    <row r="14" spans="1:14">
      <c r="A14" s="1"/>
      <c r="B14" s="44">
        <f>ROW(B14) - ROW($B$9)</f>
        <v>5</v>
      </c>
      <c r="C14" s="53" t="s">
        <v>7</v>
      </c>
      <c r="D14" s="36" t="s">
        <v>31</v>
      </c>
      <c r="E14" s="36" t="s">
        <v>108</v>
      </c>
      <c r="F14" s="36" t="s">
        <v>180</v>
      </c>
      <c r="G14" s="36" t="s">
        <v>225</v>
      </c>
      <c r="H14" s="36" t="s">
        <v>286</v>
      </c>
      <c r="I14" s="36" t="s">
        <v>319</v>
      </c>
      <c r="J14" s="36">
        <v>1</v>
      </c>
      <c r="K14" s="36">
        <f>J14*5</f>
        <v>5</v>
      </c>
      <c r="L14" s="67"/>
      <c r="M14" s="36"/>
      <c r="N14" s="51"/>
    </row>
    <row r="15" spans="1:14">
      <c r="A15" s="1"/>
      <c r="B15" s="45">
        <f t="shared" si="0"/>
        <v>6</v>
      </c>
      <c r="C15" s="53" t="s">
        <v>7</v>
      </c>
      <c r="D15" s="47" t="s">
        <v>32</v>
      </c>
      <c r="E15" s="47" t="s">
        <v>109</v>
      </c>
      <c r="F15" s="47" t="s">
        <v>183</v>
      </c>
      <c r="G15" s="47" t="s">
        <v>226</v>
      </c>
      <c r="H15" s="47" t="s">
        <v>288</v>
      </c>
      <c r="I15" s="47" t="s">
        <v>321</v>
      </c>
      <c r="J15" s="47">
        <v>2</v>
      </c>
      <c r="K15" s="47">
        <f t="shared" ref="K15" si="3">J15*5</f>
        <v>10</v>
      </c>
      <c r="L15" s="56"/>
      <c r="M15" s="47"/>
      <c r="N15" s="51"/>
    </row>
    <row r="16" spans="1:14">
      <c r="A16" s="1"/>
      <c r="B16" s="44">
        <f>ROW(B16) - ROW($B$9)</f>
        <v>7</v>
      </c>
      <c r="C16" s="53" t="s">
        <v>7</v>
      </c>
      <c r="D16" s="36" t="s">
        <v>33</v>
      </c>
      <c r="E16" s="36" t="s">
        <v>110</v>
      </c>
      <c r="F16" s="36" t="s">
        <v>184</v>
      </c>
      <c r="G16" s="36" t="s">
        <v>227</v>
      </c>
      <c r="H16" s="36" t="s">
        <v>286</v>
      </c>
      <c r="I16" s="36" t="s">
        <v>322</v>
      </c>
      <c r="J16" s="36">
        <v>1</v>
      </c>
      <c r="K16" s="36">
        <f>J16*5</f>
        <v>5</v>
      </c>
      <c r="L16" s="55"/>
      <c r="M16" s="36"/>
      <c r="N16" s="51"/>
    </row>
    <row r="17" spans="1:14">
      <c r="A17" s="1"/>
      <c r="B17" s="45">
        <f t="shared" si="0"/>
        <v>8</v>
      </c>
      <c r="C17" s="53" t="s">
        <v>7</v>
      </c>
      <c r="D17" s="47" t="s">
        <v>34</v>
      </c>
      <c r="E17" s="47" t="s">
        <v>111</v>
      </c>
      <c r="F17" s="47" t="s">
        <v>180</v>
      </c>
      <c r="G17" s="47" t="s">
        <v>228</v>
      </c>
      <c r="H17" s="47" t="s">
        <v>286</v>
      </c>
      <c r="I17" s="47" t="s">
        <v>323</v>
      </c>
      <c r="J17" s="47">
        <v>2</v>
      </c>
      <c r="K17" s="47">
        <f t="shared" ref="K17" si="4">J17*5</f>
        <v>10</v>
      </c>
      <c r="L17" s="56"/>
      <c r="M17" s="47"/>
      <c r="N17" s="51"/>
    </row>
    <row r="18" spans="1:14" ht="24">
      <c r="A18" s="1"/>
      <c r="B18" s="44">
        <f>ROW(B18) - ROW($B$9)</f>
        <v>9</v>
      </c>
      <c r="C18" s="53" t="s">
        <v>7</v>
      </c>
      <c r="D18" s="36" t="s">
        <v>35</v>
      </c>
      <c r="E18" s="36" t="s">
        <v>112</v>
      </c>
      <c r="F18" s="36" t="s">
        <v>182</v>
      </c>
      <c r="G18" s="36" t="s">
        <v>229</v>
      </c>
      <c r="H18" s="36" t="s">
        <v>286</v>
      </c>
      <c r="I18" s="36" t="s">
        <v>324</v>
      </c>
      <c r="J18" s="36">
        <v>13</v>
      </c>
      <c r="K18" s="36">
        <f>J18*5</f>
        <v>65</v>
      </c>
      <c r="L18" s="55"/>
      <c r="M18" s="36"/>
      <c r="N18" s="51"/>
    </row>
    <row r="19" spans="1:14">
      <c r="A19" s="1"/>
      <c r="B19" s="45">
        <f t="shared" si="0"/>
        <v>10</v>
      </c>
      <c r="C19" s="54" t="s">
        <v>7</v>
      </c>
      <c r="D19" s="47" t="s">
        <v>36</v>
      </c>
      <c r="E19" s="47" t="s">
        <v>113</v>
      </c>
      <c r="F19" s="47" t="s">
        <v>182</v>
      </c>
      <c r="G19" s="47" t="s">
        <v>230</v>
      </c>
      <c r="H19" s="47" t="s">
        <v>286</v>
      </c>
      <c r="I19" s="47" t="s">
        <v>325</v>
      </c>
      <c r="J19" s="47">
        <v>4</v>
      </c>
      <c r="K19" s="47">
        <f t="shared" ref="K19" si="5">J19*5</f>
        <v>20</v>
      </c>
      <c r="L19" s="55"/>
      <c r="M19" s="47"/>
      <c r="N19" s="51"/>
    </row>
    <row r="20" spans="1:14" ht="36">
      <c r="A20" s="1"/>
      <c r="B20" s="44">
        <f>ROW(B20) - ROW($B$9)</f>
        <v>11</v>
      </c>
      <c r="C20" s="53" t="s">
        <v>7</v>
      </c>
      <c r="D20" s="36" t="s">
        <v>37</v>
      </c>
      <c r="E20" s="36" t="s">
        <v>114</v>
      </c>
      <c r="F20" s="36" t="s">
        <v>362</v>
      </c>
      <c r="G20" s="36" t="s">
        <v>185</v>
      </c>
      <c r="H20" s="36" t="s">
        <v>289</v>
      </c>
      <c r="I20" s="36" t="s">
        <v>326</v>
      </c>
      <c r="J20" s="36">
        <v>4</v>
      </c>
      <c r="K20" s="36">
        <f>J20*5</f>
        <v>20</v>
      </c>
      <c r="L20" s="55"/>
      <c r="M20" s="36"/>
      <c r="N20" s="51"/>
    </row>
    <row r="21" spans="1:14">
      <c r="A21" s="1"/>
      <c r="B21" s="45">
        <f t="shared" si="0"/>
        <v>12</v>
      </c>
      <c r="C21" s="54" t="s">
        <v>7</v>
      </c>
      <c r="D21" s="47" t="s">
        <v>38</v>
      </c>
      <c r="E21" s="47" t="s">
        <v>115</v>
      </c>
      <c r="F21" s="47" t="s">
        <v>186</v>
      </c>
      <c r="G21" s="47" t="s">
        <v>231</v>
      </c>
      <c r="H21" s="47" t="s">
        <v>286</v>
      </c>
      <c r="I21" s="47" t="s">
        <v>327</v>
      </c>
      <c r="J21" s="47">
        <v>2</v>
      </c>
      <c r="K21" s="47">
        <f t="shared" ref="K21" si="6">J21*5</f>
        <v>10</v>
      </c>
      <c r="L21" s="55"/>
      <c r="M21" s="47"/>
      <c r="N21" s="51"/>
    </row>
    <row r="22" spans="1:14">
      <c r="A22" s="1"/>
      <c r="B22" s="44">
        <f>ROW(B22) - ROW($B$9)</f>
        <v>13</v>
      </c>
      <c r="C22" s="53" t="s">
        <v>7</v>
      </c>
      <c r="D22" s="36" t="s">
        <v>39</v>
      </c>
      <c r="E22" s="36" t="s">
        <v>116</v>
      </c>
      <c r="F22" s="36" t="s">
        <v>180</v>
      </c>
      <c r="G22" s="36" t="s">
        <v>232</v>
      </c>
      <c r="H22" s="36" t="s">
        <v>286</v>
      </c>
      <c r="I22" s="36" t="s">
        <v>328</v>
      </c>
      <c r="J22" s="36">
        <v>2</v>
      </c>
      <c r="K22" s="36">
        <f>J22*5</f>
        <v>10</v>
      </c>
      <c r="L22" s="55"/>
      <c r="M22" s="36"/>
      <c r="N22" s="51"/>
    </row>
    <row r="23" spans="1:14">
      <c r="A23" s="1"/>
      <c r="B23" s="45">
        <f t="shared" si="0"/>
        <v>14</v>
      </c>
      <c r="C23" s="54" t="s">
        <v>7</v>
      </c>
      <c r="D23" s="47" t="s">
        <v>40</v>
      </c>
      <c r="E23" s="47" t="s">
        <v>117</v>
      </c>
      <c r="F23" s="47" t="s">
        <v>180</v>
      </c>
      <c r="G23" s="47" t="s">
        <v>233</v>
      </c>
      <c r="H23" s="47" t="s">
        <v>286</v>
      </c>
      <c r="I23" s="47" t="s">
        <v>329</v>
      </c>
      <c r="J23" s="47">
        <v>4</v>
      </c>
      <c r="K23" s="47">
        <f t="shared" ref="K23" si="7">J23*5</f>
        <v>20</v>
      </c>
      <c r="L23" s="55"/>
      <c r="M23" s="47"/>
      <c r="N23" s="51"/>
    </row>
    <row r="24" spans="1:14">
      <c r="A24" s="1"/>
      <c r="B24" s="44">
        <f>ROW(B24) - ROW($B$9)</f>
        <v>15</v>
      </c>
      <c r="C24" s="54" t="s">
        <v>7</v>
      </c>
      <c r="D24" s="36" t="s">
        <v>41</v>
      </c>
      <c r="E24" s="36" t="s">
        <v>118</v>
      </c>
      <c r="F24" s="36" t="s">
        <v>182</v>
      </c>
      <c r="G24" s="36" t="s">
        <v>234</v>
      </c>
      <c r="H24" s="36" t="s">
        <v>286</v>
      </c>
      <c r="I24" s="36" t="s">
        <v>330</v>
      </c>
      <c r="J24" s="36">
        <v>1</v>
      </c>
      <c r="K24" s="36">
        <f>J24*5</f>
        <v>5</v>
      </c>
      <c r="L24" s="55"/>
      <c r="M24" s="36"/>
      <c r="N24" s="51"/>
    </row>
    <row r="25" spans="1:14">
      <c r="A25" s="1"/>
      <c r="B25" s="45">
        <f t="shared" si="0"/>
        <v>16</v>
      </c>
      <c r="C25" s="53" t="s">
        <v>8</v>
      </c>
      <c r="D25" s="47" t="s">
        <v>42</v>
      </c>
      <c r="E25" s="47" t="s">
        <v>119</v>
      </c>
      <c r="F25" s="47" t="s">
        <v>187</v>
      </c>
      <c r="G25" s="47" t="s">
        <v>235</v>
      </c>
      <c r="H25" s="47" t="s">
        <v>290</v>
      </c>
      <c r="I25" s="47" t="s">
        <v>363</v>
      </c>
      <c r="J25" s="47">
        <v>1</v>
      </c>
      <c r="K25" s="47">
        <f t="shared" ref="K25" si="8">J25*5</f>
        <v>5</v>
      </c>
      <c r="L25" s="55"/>
      <c r="M25" s="47"/>
      <c r="N25" s="51"/>
    </row>
    <row r="26" spans="1:14">
      <c r="A26" s="1"/>
      <c r="B26" s="44">
        <f>ROW(B26) - ROW($B$9)</f>
        <v>17</v>
      </c>
      <c r="C26" s="53" t="s">
        <v>8</v>
      </c>
      <c r="D26" s="36" t="s">
        <v>43</v>
      </c>
      <c r="E26" s="36" t="s">
        <v>120</v>
      </c>
      <c r="F26" s="36" t="s">
        <v>188</v>
      </c>
      <c r="G26" s="36" t="s">
        <v>236</v>
      </c>
      <c r="H26" s="36" t="s">
        <v>291</v>
      </c>
      <c r="I26" s="36" t="s">
        <v>363</v>
      </c>
      <c r="J26" s="36">
        <v>1</v>
      </c>
      <c r="K26" s="36">
        <f>J26*5</f>
        <v>5</v>
      </c>
      <c r="L26" s="55"/>
      <c r="M26" s="36"/>
      <c r="N26" s="51"/>
    </row>
    <row r="27" spans="1:14" ht="36">
      <c r="A27" s="1"/>
      <c r="B27" s="45">
        <f t="shared" si="0"/>
        <v>18</v>
      </c>
      <c r="C27" s="54" t="s">
        <v>8</v>
      </c>
      <c r="D27" s="47" t="s">
        <v>44</v>
      </c>
      <c r="E27" s="47" t="s">
        <v>121</v>
      </c>
      <c r="F27" s="47" t="s">
        <v>189</v>
      </c>
      <c r="G27" s="47" t="s">
        <v>237</v>
      </c>
      <c r="H27" s="47" t="s">
        <v>292</v>
      </c>
      <c r="I27" s="36" t="s">
        <v>363</v>
      </c>
      <c r="J27" s="47">
        <v>2</v>
      </c>
      <c r="K27" s="47">
        <f t="shared" ref="K27" si="9">J27*5</f>
        <v>10</v>
      </c>
      <c r="L27" s="55"/>
      <c r="M27" s="47"/>
      <c r="N27" s="51"/>
    </row>
    <row r="28" spans="1:14" ht="24">
      <c r="A28" s="1"/>
      <c r="B28" s="44">
        <f>ROW(B28) - ROW($B$9)</f>
        <v>19</v>
      </c>
      <c r="C28" s="53" t="s">
        <v>8</v>
      </c>
      <c r="D28" s="36" t="s">
        <v>45</v>
      </c>
      <c r="E28" s="36" t="s">
        <v>122</v>
      </c>
      <c r="F28" s="36" t="s">
        <v>190</v>
      </c>
      <c r="G28" s="36" t="s">
        <v>238</v>
      </c>
      <c r="H28" s="36" t="s">
        <v>293</v>
      </c>
      <c r="I28" s="36" t="s">
        <v>363</v>
      </c>
      <c r="J28" s="36">
        <v>7</v>
      </c>
      <c r="K28" s="36">
        <f>J28*5</f>
        <v>35</v>
      </c>
      <c r="L28" s="55"/>
      <c r="M28" s="36"/>
      <c r="N28" s="51"/>
    </row>
    <row r="29" spans="1:14" ht="24">
      <c r="A29" s="1"/>
      <c r="B29" s="45">
        <f t="shared" si="0"/>
        <v>20</v>
      </c>
      <c r="C29" s="54" t="s">
        <v>9</v>
      </c>
      <c r="D29" s="47" t="s">
        <v>46</v>
      </c>
      <c r="E29" s="47" t="s">
        <v>123</v>
      </c>
      <c r="F29" s="47" t="s">
        <v>191</v>
      </c>
      <c r="G29" s="47" t="s">
        <v>239</v>
      </c>
      <c r="H29" s="47" t="s">
        <v>294</v>
      </c>
      <c r="I29" s="36" t="s">
        <v>363</v>
      </c>
      <c r="J29" s="47">
        <v>9</v>
      </c>
      <c r="K29" s="47">
        <f t="shared" ref="K29" si="10">J29*5</f>
        <v>45</v>
      </c>
      <c r="L29" s="55"/>
      <c r="M29" s="47"/>
      <c r="N29" s="51"/>
    </row>
    <row r="30" spans="1:14">
      <c r="A30" s="1"/>
      <c r="B30" s="44">
        <f>ROW(B30) - ROW($B$9)</f>
        <v>21</v>
      </c>
      <c r="C30" s="53" t="s">
        <v>9</v>
      </c>
      <c r="D30" s="36" t="s">
        <v>47</v>
      </c>
      <c r="E30" s="36" t="s">
        <v>124</v>
      </c>
      <c r="F30" s="36" t="s">
        <v>192</v>
      </c>
      <c r="G30" s="36" t="s">
        <v>240</v>
      </c>
      <c r="H30" s="36" t="s">
        <v>294</v>
      </c>
      <c r="I30" s="36" t="s">
        <v>363</v>
      </c>
      <c r="J30" s="36">
        <v>1</v>
      </c>
      <c r="K30" s="36">
        <f>J30*5</f>
        <v>5</v>
      </c>
      <c r="L30" s="55"/>
      <c r="M30" s="36"/>
      <c r="N30" s="51"/>
    </row>
    <row r="31" spans="1:14" ht="36">
      <c r="A31" s="1"/>
      <c r="B31" s="45">
        <f t="shared" si="0"/>
        <v>22</v>
      </c>
      <c r="C31" s="54" t="s">
        <v>10</v>
      </c>
      <c r="D31" s="47" t="s">
        <v>48</v>
      </c>
      <c r="E31" s="47" t="s">
        <v>125</v>
      </c>
      <c r="F31" s="47" t="s">
        <v>362</v>
      </c>
      <c r="G31" s="47" t="s">
        <v>193</v>
      </c>
      <c r="H31" s="47" t="s">
        <v>295</v>
      </c>
      <c r="I31" s="36" t="s">
        <v>363</v>
      </c>
      <c r="J31" s="47">
        <v>1</v>
      </c>
      <c r="K31" s="47">
        <f t="shared" ref="K31" si="11">J31*5</f>
        <v>5</v>
      </c>
      <c r="L31" s="55"/>
      <c r="M31" s="47"/>
      <c r="N31" s="51"/>
    </row>
    <row r="32" spans="1:14" ht="36">
      <c r="A32" s="1"/>
      <c r="B32" s="44">
        <f>ROW(B32) - ROW($B$9)</f>
        <v>23</v>
      </c>
      <c r="C32" s="53" t="s">
        <v>11</v>
      </c>
      <c r="D32" s="36" t="s">
        <v>49</v>
      </c>
      <c r="E32" s="36" t="s">
        <v>126</v>
      </c>
      <c r="F32" s="47" t="s">
        <v>362</v>
      </c>
      <c r="G32" s="36" t="s">
        <v>194</v>
      </c>
      <c r="H32" s="36" t="s">
        <v>296</v>
      </c>
      <c r="I32" s="36" t="s">
        <v>363</v>
      </c>
      <c r="J32" s="36">
        <v>3</v>
      </c>
      <c r="K32" s="36">
        <f>J32*5</f>
        <v>15</v>
      </c>
      <c r="L32" s="55"/>
      <c r="M32" s="36"/>
      <c r="N32" s="51"/>
    </row>
    <row r="33" spans="1:14" ht="24">
      <c r="A33" s="1"/>
      <c r="B33" s="45">
        <f t="shared" si="0"/>
        <v>24</v>
      </c>
      <c r="C33" s="54" t="s">
        <v>12</v>
      </c>
      <c r="D33" s="47" t="s">
        <v>50</v>
      </c>
      <c r="E33" s="47" t="s">
        <v>127</v>
      </c>
      <c r="F33" s="47" t="s">
        <v>362</v>
      </c>
      <c r="G33" s="47" t="s">
        <v>241</v>
      </c>
      <c r="H33" s="47" t="s">
        <v>297</v>
      </c>
      <c r="I33" s="36" t="s">
        <v>363</v>
      </c>
      <c r="J33" s="47">
        <v>1</v>
      </c>
      <c r="K33" s="47">
        <f t="shared" ref="K33" si="12">J33*5</f>
        <v>5</v>
      </c>
      <c r="L33" s="55"/>
      <c r="M33" s="47"/>
      <c r="N33" s="51"/>
    </row>
    <row r="34" spans="1:14" ht="48">
      <c r="A34" s="1"/>
      <c r="B34" s="44">
        <f>ROW(B34) - ROW($B$9)</f>
        <v>25</v>
      </c>
      <c r="C34" s="53" t="s">
        <v>13</v>
      </c>
      <c r="D34" s="36" t="s">
        <v>51</v>
      </c>
      <c r="E34" s="36" t="s">
        <v>128</v>
      </c>
      <c r="F34" s="47" t="s">
        <v>362</v>
      </c>
      <c r="G34" s="36" t="s">
        <v>242</v>
      </c>
      <c r="H34" s="36" t="s">
        <v>295</v>
      </c>
      <c r="I34" s="36" t="s">
        <v>363</v>
      </c>
      <c r="J34" s="36">
        <v>1</v>
      </c>
      <c r="K34" s="36">
        <f>J34*5</f>
        <v>5</v>
      </c>
      <c r="L34" s="55"/>
      <c r="M34" s="36"/>
      <c r="N34" s="51"/>
    </row>
    <row r="35" spans="1:14" ht="36">
      <c r="A35" s="1"/>
      <c r="B35" s="45">
        <f t="shared" si="0"/>
        <v>26</v>
      </c>
      <c r="C35" s="54" t="s">
        <v>12</v>
      </c>
      <c r="D35" s="47" t="s">
        <v>52</v>
      </c>
      <c r="E35" s="47" t="s">
        <v>129</v>
      </c>
      <c r="F35" s="47" t="s">
        <v>362</v>
      </c>
      <c r="G35" s="47" t="s">
        <v>243</v>
      </c>
      <c r="H35" s="47" t="s">
        <v>298</v>
      </c>
      <c r="I35" s="36" t="s">
        <v>363</v>
      </c>
      <c r="J35" s="47">
        <v>1</v>
      </c>
      <c r="K35" s="47">
        <f t="shared" ref="K35" si="13">J35*5</f>
        <v>5</v>
      </c>
      <c r="L35" s="55"/>
      <c r="M35" s="47"/>
      <c r="N35" s="51"/>
    </row>
    <row r="36" spans="1:14">
      <c r="A36" s="1"/>
      <c r="B36" s="44">
        <f>ROW(B36) - ROW($B$9)</f>
        <v>27</v>
      </c>
      <c r="C36" s="53" t="s">
        <v>14</v>
      </c>
      <c r="D36" s="36" t="s">
        <v>53</v>
      </c>
      <c r="E36" s="36" t="s">
        <v>130</v>
      </c>
      <c r="F36" s="47" t="s">
        <v>362</v>
      </c>
      <c r="G36" s="36" t="s">
        <v>195</v>
      </c>
      <c r="H36" s="36" t="s">
        <v>299</v>
      </c>
      <c r="I36" s="36" t="s">
        <v>363</v>
      </c>
      <c r="J36" s="36">
        <v>1</v>
      </c>
      <c r="K36" s="36">
        <f>J36*5</f>
        <v>5</v>
      </c>
      <c r="L36" s="55"/>
      <c r="M36" s="36"/>
      <c r="N36" s="51"/>
    </row>
    <row r="37" spans="1:14" ht="48">
      <c r="A37" s="1"/>
      <c r="B37" s="45">
        <f t="shared" si="0"/>
        <v>28</v>
      </c>
      <c r="C37" s="54" t="s">
        <v>15</v>
      </c>
      <c r="D37" s="47" t="s">
        <v>54</v>
      </c>
      <c r="E37" s="47" t="s">
        <v>131</v>
      </c>
      <c r="F37" s="47" t="s">
        <v>362</v>
      </c>
      <c r="G37" s="47" t="s">
        <v>196</v>
      </c>
      <c r="H37" s="47" t="s">
        <v>298</v>
      </c>
      <c r="I37" s="36" t="s">
        <v>363</v>
      </c>
      <c r="J37" s="47">
        <v>3</v>
      </c>
      <c r="K37" s="47">
        <f t="shared" ref="K37" si="14">J37*5</f>
        <v>15</v>
      </c>
      <c r="L37" s="55"/>
      <c r="M37" s="47"/>
      <c r="N37" s="51"/>
    </row>
    <row r="38" spans="1:14" ht="24">
      <c r="A38" s="1"/>
      <c r="B38" s="44">
        <f>ROW(B38) - ROW($B$9)</f>
        <v>29</v>
      </c>
      <c r="C38" s="53" t="s">
        <v>16</v>
      </c>
      <c r="D38" s="36" t="s">
        <v>55</v>
      </c>
      <c r="E38" s="36" t="s">
        <v>132</v>
      </c>
      <c r="F38" s="47" t="s">
        <v>362</v>
      </c>
      <c r="G38" s="36" t="s">
        <v>197</v>
      </c>
      <c r="H38" s="36" t="s">
        <v>300</v>
      </c>
      <c r="I38" s="36" t="s">
        <v>331</v>
      </c>
      <c r="J38" s="36">
        <v>3</v>
      </c>
      <c r="K38" s="36">
        <f>J38*5</f>
        <v>15</v>
      </c>
      <c r="L38" s="55"/>
      <c r="M38" s="36"/>
      <c r="N38" s="51"/>
    </row>
    <row r="39" spans="1:14" ht="36">
      <c r="A39" s="1"/>
      <c r="B39" s="45">
        <f t="shared" si="0"/>
        <v>30</v>
      </c>
      <c r="C39" s="54" t="s">
        <v>16</v>
      </c>
      <c r="D39" s="47" t="s">
        <v>56</v>
      </c>
      <c r="E39" s="47" t="s">
        <v>133</v>
      </c>
      <c r="F39" s="47" t="s">
        <v>362</v>
      </c>
      <c r="G39" s="47" t="s">
        <v>198</v>
      </c>
      <c r="H39" s="47" t="s">
        <v>301</v>
      </c>
      <c r="I39" s="47" t="s">
        <v>332</v>
      </c>
      <c r="J39" s="47">
        <v>4</v>
      </c>
      <c r="K39" s="47">
        <f t="shared" ref="K39" si="15">J39*5</f>
        <v>20</v>
      </c>
      <c r="L39" s="55"/>
      <c r="M39" s="47"/>
      <c r="N39" s="51"/>
    </row>
    <row r="40" spans="1:14" ht="24">
      <c r="A40" s="1"/>
      <c r="B40" s="44">
        <f>ROW(B40) - ROW($B$9)</f>
        <v>31</v>
      </c>
      <c r="C40" s="53" t="s">
        <v>17</v>
      </c>
      <c r="D40" s="36" t="s">
        <v>57</v>
      </c>
      <c r="E40" s="36" t="s">
        <v>134</v>
      </c>
      <c r="F40" s="36" t="s">
        <v>199</v>
      </c>
      <c r="G40" s="36" t="s">
        <v>244</v>
      </c>
      <c r="H40" s="36" t="s">
        <v>302</v>
      </c>
      <c r="I40" s="36" t="s">
        <v>363</v>
      </c>
      <c r="J40" s="36">
        <v>2</v>
      </c>
      <c r="K40" s="36">
        <f>J40*5</f>
        <v>10</v>
      </c>
      <c r="L40" s="55"/>
      <c r="M40" s="36"/>
      <c r="N40" s="51"/>
    </row>
    <row r="41" spans="1:14" ht="24">
      <c r="A41" s="1"/>
      <c r="B41" s="45">
        <f t="shared" si="0"/>
        <v>32</v>
      </c>
      <c r="C41" s="54" t="s">
        <v>17</v>
      </c>
      <c r="D41" s="47" t="s">
        <v>58</v>
      </c>
      <c r="E41" s="47" t="s">
        <v>135</v>
      </c>
      <c r="F41" s="47" t="s">
        <v>199</v>
      </c>
      <c r="G41" s="47" t="s">
        <v>245</v>
      </c>
      <c r="H41" s="47" t="s">
        <v>302</v>
      </c>
      <c r="I41" s="47" t="s">
        <v>363</v>
      </c>
      <c r="J41" s="47">
        <v>1</v>
      </c>
      <c r="K41" s="47">
        <f t="shared" ref="K41" si="16">J41*5</f>
        <v>5</v>
      </c>
      <c r="L41" s="55"/>
      <c r="M41" s="47"/>
      <c r="N41" s="51"/>
    </row>
    <row r="42" spans="1:14" ht="48">
      <c r="A42" s="1"/>
      <c r="B42" s="44">
        <f>ROW(B42) - ROW($B$9)</f>
        <v>33</v>
      </c>
      <c r="C42" s="53" t="s">
        <v>18</v>
      </c>
      <c r="D42" s="57" t="s">
        <v>59</v>
      </c>
      <c r="E42" s="57" t="s">
        <v>136</v>
      </c>
      <c r="F42" s="58" t="s">
        <v>362</v>
      </c>
      <c r="G42" s="57" t="s">
        <v>200</v>
      </c>
      <c r="H42" s="57" t="s">
        <v>363</v>
      </c>
      <c r="I42" s="57" t="s">
        <v>363</v>
      </c>
      <c r="J42" s="57">
        <v>27</v>
      </c>
      <c r="K42" s="57">
        <f>J42*5</f>
        <v>135</v>
      </c>
      <c r="L42" s="57"/>
      <c r="M42" s="57"/>
      <c r="N42" s="59"/>
    </row>
    <row r="43" spans="1:14">
      <c r="A43" s="1"/>
      <c r="B43" s="45">
        <f t="shared" si="0"/>
        <v>34</v>
      </c>
      <c r="C43" s="54" t="s">
        <v>19</v>
      </c>
      <c r="D43" s="47" t="s">
        <v>60</v>
      </c>
      <c r="E43" s="47" t="s">
        <v>137</v>
      </c>
      <c r="F43" s="47" t="s">
        <v>201</v>
      </c>
      <c r="G43" s="47" t="s">
        <v>246</v>
      </c>
      <c r="H43" s="47" t="s">
        <v>303</v>
      </c>
      <c r="I43" s="47" t="s">
        <v>363</v>
      </c>
      <c r="J43" s="47">
        <v>2</v>
      </c>
      <c r="K43" s="47">
        <f t="shared" ref="K43" si="17">J43*5</f>
        <v>10</v>
      </c>
      <c r="L43" s="55"/>
      <c r="M43" s="47"/>
      <c r="N43" s="51"/>
    </row>
    <row r="44" spans="1:14" ht="24">
      <c r="A44" s="1"/>
      <c r="B44" s="44">
        <f>ROW(B44) - ROW($B$9)</f>
        <v>35</v>
      </c>
      <c r="C44" s="54" t="s">
        <v>19</v>
      </c>
      <c r="D44" s="36" t="s">
        <v>61</v>
      </c>
      <c r="E44" s="36" t="s">
        <v>138</v>
      </c>
      <c r="F44" s="36" t="s">
        <v>202</v>
      </c>
      <c r="G44" s="36" t="s">
        <v>247</v>
      </c>
      <c r="H44" s="36" t="s">
        <v>304</v>
      </c>
      <c r="I44" s="36" t="s">
        <v>363</v>
      </c>
      <c r="J44" s="36">
        <v>1</v>
      </c>
      <c r="K44" s="36">
        <f>J44*5</f>
        <v>5</v>
      </c>
      <c r="L44" s="55"/>
      <c r="M44" s="36"/>
      <c r="N44" s="51"/>
    </row>
    <row r="45" spans="1:14" ht="24">
      <c r="A45" s="1"/>
      <c r="B45" s="45">
        <f t="shared" si="0"/>
        <v>36</v>
      </c>
      <c r="C45" s="54" t="s">
        <v>19</v>
      </c>
      <c r="D45" s="47" t="s">
        <v>62</v>
      </c>
      <c r="E45" s="47" t="s">
        <v>139</v>
      </c>
      <c r="F45" s="47" t="s">
        <v>202</v>
      </c>
      <c r="G45" s="47" t="s">
        <v>248</v>
      </c>
      <c r="H45" s="47" t="s">
        <v>293</v>
      </c>
      <c r="I45" s="47" t="s">
        <v>363</v>
      </c>
      <c r="J45" s="47">
        <v>2</v>
      </c>
      <c r="K45" s="47">
        <f t="shared" ref="K45" si="18">J45*5</f>
        <v>10</v>
      </c>
      <c r="L45" s="55"/>
      <c r="M45" s="47"/>
      <c r="N45" s="51"/>
    </row>
    <row r="46" spans="1:14" ht="24">
      <c r="A46" s="1"/>
      <c r="B46" s="44">
        <f>ROW(B46) - ROW($B$9)</f>
        <v>37</v>
      </c>
      <c r="C46" s="53" t="s">
        <v>20</v>
      </c>
      <c r="D46" s="36" t="s">
        <v>63</v>
      </c>
      <c r="E46" s="36" t="s">
        <v>140</v>
      </c>
      <c r="F46" s="36" t="s">
        <v>203</v>
      </c>
      <c r="G46" s="36" t="s">
        <v>249</v>
      </c>
      <c r="H46" s="36" t="s">
        <v>286</v>
      </c>
      <c r="I46" s="36" t="s">
        <v>333</v>
      </c>
      <c r="J46" s="36">
        <v>12</v>
      </c>
      <c r="K46" s="36">
        <f>J46*5</f>
        <v>60</v>
      </c>
      <c r="L46" s="55"/>
      <c r="M46" s="36"/>
      <c r="N46" s="51"/>
    </row>
    <row r="47" spans="1:14" ht="36">
      <c r="A47" s="1"/>
      <c r="B47" s="45">
        <f t="shared" si="0"/>
        <v>38</v>
      </c>
      <c r="C47" s="54" t="s">
        <v>20</v>
      </c>
      <c r="D47" s="47" t="s">
        <v>64</v>
      </c>
      <c r="E47" s="47" t="s">
        <v>141</v>
      </c>
      <c r="F47" s="47" t="s">
        <v>204</v>
      </c>
      <c r="G47" s="47" t="s">
        <v>250</v>
      </c>
      <c r="H47" s="47" t="s">
        <v>305</v>
      </c>
      <c r="I47" s="47" t="s">
        <v>334</v>
      </c>
      <c r="J47" s="47">
        <v>1</v>
      </c>
      <c r="K47" s="47">
        <f t="shared" ref="K47" si="19">J47*5</f>
        <v>5</v>
      </c>
      <c r="L47" s="55"/>
      <c r="M47" s="47"/>
      <c r="N47" s="51"/>
    </row>
    <row r="48" spans="1:14" ht="48">
      <c r="A48" s="1"/>
      <c r="B48" s="44">
        <f>ROW(B48) - ROW($B$9)</f>
        <v>39</v>
      </c>
      <c r="C48" s="53" t="s">
        <v>20</v>
      </c>
      <c r="D48" s="36" t="s">
        <v>65</v>
      </c>
      <c r="E48" s="36" t="s">
        <v>142</v>
      </c>
      <c r="F48" s="36" t="s">
        <v>203</v>
      </c>
      <c r="G48" s="36" t="s">
        <v>251</v>
      </c>
      <c r="H48" s="36" t="s">
        <v>286</v>
      </c>
      <c r="I48" s="36" t="s">
        <v>335</v>
      </c>
      <c r="J48" s="36">
        <v>25</v>
      </c>
      <c r="K48" s="36">
        <f>J48*5</f>
        <v>125</v>
      </c>
      <c r="L48" s="55"/>
      <c r="M48" s="36"/>
      <c r="N48" s="51"/>
    </row>
    <row r="49" spans="1:14">
      <c r="A49" s="1"/>
      <c r="B49" s="45">
        <f t="shared" si="0"/>
        <v>40</v>
      </c>
      <c r="C49" s="53" t="s">
        <v>20</v>
      </c>
      <c r="D49" s="47" t="s">
        <v>66</v>
      </c>
      <c r="E49" s="47" t="s">
        <v>143</v>
      </c>
      <c r="F49" s="47" t="s">
        <v>203</v>
      </c>
      <c r="G49" s="47" t="s">
        <v>252</v>
      </c>
      <c r="H49" s="47" t="s">
        <v>286</v>
      </c>
      <c r="I49" s="47" t="s">
        <v>334</v>
      </c>
      <c r="J49" s="47">
        <v>2</v>
      </c>
      <c r="K49" s="47">
        <f t="shared" ref="K49" si="20">J49*5</f>
        <v>10</v>
      </c>
      <c r="L49" s="55"/>
      <c r="M49" s="47"/>
      <c r="N49" s="51"/>
    </row>
    <row r="50" spans="1:14">
      <c r="A50" s="1"/>
      <c r="B50" s="44">
        <f>ROW(B50) - ROW($B$9)</f>
        <v>41</v>
      </c>
      <c r="C50" s="53" t="s">
        <v>20</v>
      </c>
      <c r="D50" s="36" t="s">
        <v>67</v>
      </c>
      <c r="E50" s="36" t="s">
        <v>144</v>
      </c>
      <c r="F50" s="36" t="s">
        <v>203</v>
      </c>
      <c r="G50" s="36" t="s">
        <v>253</v>
      </c>
      <c r="H50" s="36" t="s">
        <v>286</v>
      </c>
      <c r="I50" s="36" t="s">
        <v>336</v>
      </c>
      <c r="J50" s="36">
        <v>3</v>
      </c>
      <c r="K50" s="36">
        <f>J50*5</f>
        <v>15</v>
      </c>
      <c r="L50" s="55"/>
      <c r="M50" s="36"/>
      <c r="N50" s="51"/>
    </row>
    <row r="51" spans="1:14">
      <c r="A51" s="1"/>
      <c r="B51" s="45">
        <f t="shared" si="0"/>
        <v>42</v>
      </c>
      <c r="C51" s="54" t="s">
        <v>20</v>
      </c>
      <c r="D51" s="47" t="s">
        <v>68</v>
      </c>
      <c r="E51" s="47" t="s">
        <v>145</v>
      </c>
      <c r="F51" s="47" t="s">
        <v>203</v>
      </c>
      <c r="G51" s="47" t="s">
        <v>254</v>
      </c>
      <c r="H51" s="47" t="s">
        <v>286</v>
      </c>
      <c r="I51" s="47" t="s">
        <v>337</v>
      </c>
      <c r="J51" s="47">
        <v>3</v>
      </c>
      <c r="K51" s="47">
        <f t="shared" ref="K51" si="21">J51*5</f>
        <v>15</v>
      </c>
      <c r="L51" s="55"/>
      <c r="M51" s="47"/>
      <c r="N51" s="51"/>
    </row>
    <row r="52" spans="1:14">
      <c r="A52" s="1"/>
      <c r="B52" s="44">
        <f>ROW(B52) - ROW($B$9)</f>
        <v>43</v>
      </c>
      <c r="C52" s="53" t="s">
        <v>20</v>
      </c>
      <c r="D52" s="36" t="s">
        <v>69</v>
      </c>
      <c r="E52" s="36" t="s">
        <v>146</v>
      </c>
      <c r="F52" s="36" t="s">
        <v>203</v>
      </c>
      <c r="G52" s="36" t="s">
        <v>255</v>
      </c>
      <c r="H52" s="36" t="s">
        <v>286</v>
      </c>
      <c r="I52" s="36" t="s">
        <v>338</v>
      </c>
      <c r="J52" s="36">
        <v>5</v>
      </c>
      <c r="K52" s="36">
        <f>J52*5</f>
        <v>25</v>
      </c>
      <c r="L52" s="55"/>
      <c r="M52" s="36"/>
      <c r="N52" s="51"/>
    </row>
    <row r="53" spans="1:14">
      <c r="A53" s="1"/>
      <c r="B53" s="45">
        <f t="shared" si="0"/>
        <v>44</v>
      </c>
      <c r="C53" s="54" t="s">
        <v>20</v>
      </c>
      <c r="D53" s="47" t="s">
        <v>70</v>
      </c>
      <c r="E53" s="47" t="s">
        <v>147</v>
      </c>
      <c r="F53" s="47" t="s">
        <v>205</v>
      </c>
      <c r="G53" s="76" t="s">
        <v>256</v>
      </c>
      <c r="H53" s="47" t="s">
        <v>286</v>
      </c>
      <c r="I53" s="47" t="s">
        <v>334</v>
      </c>
      <c r="J53" s="47">
        <v>4</v>
      </c>
      <c r="K53" s="47">
        <f t="shared" ref="K53" si="22">J53*5</f>
        <v>20</v>
      </c>
      <c r="L53" s="55"/>
      <c r="M53" s="47"/>
      <c r="N53" s="51"/>
    </row>
    <row r="54" spans="1:14">
      <c r="A54" s="1"/>
      <c r="B54" s="44">
        <f>ROW(B54) - ROW($B$9)</f>
        <v>45</v>
      </c>
      <c r="C54" s="53" t="s">
        <v>20</v>
      </c>
      <c r="D54" s="36" t="s">
        <v>71</v>
      </c>
      <c r="E54" s="36" t="s">
        <v>148</v>
      </c>
      <c r="F54" s="36" t="s">
        <v>203</v>
      </c>
      <c r="G54" s="36" t="s">
        <v>257</v>
      </c>
      <c r="H54" s="36" t="s">
        <v>286</v>
      </c>
      <c r="I54" s="36" t="s">
        <v>339</v>
      </c>
      <c r="J54" s="36">
        <v>2</v>
      </c>
      <c r="K54" s="36">
        <f>J54*5</f>
        <v>10</v>
      </c>
      <c r="L54" s="55"/>
      <c r="M54" s="36"/>
      <c r="N54" s="51"/>
    </row>
    <row r="55" spans="1:14">
      <c r="A55" s="1"/>
      <c r="B55" s="45">
        <f t="shared" si="0"/>
        <v>46</v>
      </c>
      <c r="C55" s="54" t="s">
        <v>20</v>
      </c>
      <c r="D55" s="47" t="s">
        <v>72</v>
      </c>
      <c r="E55" s="47" t="s">
        <v>149</v>
      </c>
      <c r="F55" s="47" t="s">
        <v>206</v>
      </c>
      <c r="G55" s="47" t="s">
        <v>258</v>
      </c>
      <c r="H55" s="47" t="s">
        <v>286</v>
      </c>
      <c r="I55" s="47" t="s">
        <v>340</v>
      </c>
      <c r="J55" s="47">
        <v>1</v>
      </c>
      <c r="K55" s="47">
        <f t="shared" ref="K55" si="23">J55*5</f>
        <v>5</v>
      </c>
      <c r="L55" s="55"/>
      <c r="M55" s="47"/>
      <c r="N55" s="51"/>
    </row>
    <row r="56" spans="1:14">
      <c r="A56" s="1"/>
      <c r="B56" s="44">
        <f>ROW(B56) - ROW($B$9)</f>
        <v>47</v>
      </c>
      <c r="C56" s="53" t="s">
        <v>20</v>
      </c>
      <c r="D56" s="36" t="s">
        <v>73</v>
      </c>
      <c r="E56" s="36" t="s">
        <v>150</v>
      </c>
      <c r="F56" s="36" t="s">
        <v>207</v>
      </c>
      <c r="G56" s="36" t="s">
        <v>259</v>
      </c>
      <c r="H56" s="36" t="s">
        <v>286</v>
      </c>
      <c r="I56" s="36" t="s">
        <v>341</v>
      </c>
      <c r="J56" s="36">
        <v>1</v>
      </c>
      <c r="K56" s="36">
        <f>J56*5</f>
        <v>5</v>
      </c>
      <c r="L56" s="55"/>
      <c r="M56" s="36"/>
      <c r="N56" s="51"/>
    </row>
    <row r="57" spans="1:14">
      <c r="A57" s="1"/>
      <c r="B57" s="45">
        <f t="shared" si="0"/>
        <v>48</v>
      </c>
      <c r="C57" s="54" t="s">
        <v>20</v>
      </c>
      <c r="D57" s="47" t="s">
        <v>74</v>
      </c>
      <c r="E57" s="47" t="s">
        <v>151</v>
      </c>
      <c r="F57" s="47" t="s">
        <v>207</v>
      </c>
      <c r="G57" s="47" t="s">
        <v>260</v>
      </c>
      <c r="H57" s="47" t="s">
        <v>286</v>
      </c>
      <c r="I57" s="47" t="s">
        <v>338</v>
      </c>
      <c r="J57" s="47">
        <v>1</v>
      </c>
      <c r="K57" s="47">
        <f t="shared" ref="K57" si="24">J57*5</f>
        <v>5</v>
      </c>
      <c r="L57" s="55"/>
      <c r="M57" s="47"/>
      <c r="N57" s="51"/>
    </row>
    <row r="58" spans="1:14" ht="60">
      <c r="A58" s="1"/>
      <c r="B58" s="44">
        <f>ROW(B58) - ROW($B$9)</f>
        <v>49</v>
      </c>
      <c r="C58" s="53" t="s">
        <v>20</v>
      </c>
      <c r="D58" s="36" t="s">
        <v>75</v>
      </c>
      <c r="E58" s="36" t="s">
        <v>152</v>
      </c>
      <c r="F58" s="36" t="s">
        <v>208</v>
      </c>
      <c r="G58" s="36" t="s">
        <v>261</v>
      </c>
      <c r="H58" s="36" t="s">
        <v>286</v>
      </c>
      <c r="I58" s="36" t="s">
        <v>334</v>
      </c>
      <c r="J58" s="36">
        <v>31</v>
      </c>
      <c r="K58" s="36">
        <f>J58*5</f>
        <v>155</v>
      </c>
      <c r="L58" s="55"/>
      <c r="M58" s="36"/>
      <c r="N58" s="51"/>
    </row>
    <row r="59" spans="1:14">
      <c r="A59" s="1"/>
      <c r="B59" s="45">
        <f t="shared" si="0"/>
        <v>50</v>
      </c>
      <c r="C59" s="54" t="s">
        <v>20</v>
      </c>
      <c r="D59" s="47" t="s">
        <v>76</v>
      </c>
      <c r="E59" s="47" t="s">
        <v>153</v>
      </c>
      <c r="F59" s="47" t="s">
        <v>206</v>
      </c>
      <c r="G59" s="47" t="s">
        <v>262</v>
      </c>
      <c r="H59" s="47" t="s">
        <v>286</v>
      </c>
      <c r="I59" s="47" t="s">
        <v>334</v>
      </c>
      <c r="J59" s="47">
        <v>5</v>
      </c>
      <c r="K59" s="47">
        <f t="shared" ref="K59" si="25">J59*5</f>
        <v>25</v>
      </c>
      <c r="L59" s="55"/>
      <c r="M59" s="47"/>
      <c r="N59" s="51"/>
    </row>
    <row r="60" spans="1:14" ht="72">
      <c r="A60" s="1"/>
      <c r="B60" s="44">
        <f>ROW(B60) - ROW($B$9)</f>
        <v>51</v>
      </c>
      <c r="C60" s="53" t="s">
        <v>20</v>
      </c>
      <c r="D60" s="36" t="s">
        <v>77</v>
      </c>
      <c r="E60" s="36" t="s">
        <v>154</v>
      </c>
      <c r="F60" s="36" t="s">
        <v>208</v>
      </c>
      <c r="G60" s="36" t="s">
        <v>263</v>
      </c>
      <c r="H60" s="36" t="s">
        <v>286</v>
      </c>
      <c r="I60" s="36" t="s">
        <v>342</v>
      </c>
      <c r="J60" s="36">
        <v>36</v>
      </c>
      <c r="K60" s="36">
        <f>J60*5</f>
        <v>180</v>
      </c>
      <c r="L60" s="55"/>
      <c r="M60" s="36"/>
      <c r="N60" s="51"/>
    </row>
    <row r="61" spans="1:14">
      <c r="A61" s="1"/>
      <c r="B61" s="45">
        <f t="shared" si="0"/>
        <v>52</v>
      </c>
      <c r="C61" s="54" t="s">
        <v>20</v>
      </c>
      <c r="D61" s="47" t="s">
        <v>78</v>
      </c>
      <c r="E61" s="47" t="s">
        <v>155</v>
      </c>
      <c r="F61" s="47" t="s">
        <v>208</v>
      </c>
      <c r="G61" s="47" t="s">
        <v>264</v>
      </c>
      <c r="H61" s="47" t="s">
        <v>286</v>
      </c>
      <c r="I61" s="47" t="s">
        <v>343</v>
      </c>
      <c r="J61" s="47">
        <v>1</v>
      </c>
      <c r="K61" s="47">
        <f t="shared" ref="K61" si="26">J61*5</f>
        <v>5</v>
      </c>
      <c r="L61" s="55"/>
      <c r="M61" s="47"/>
      <c r="N61" s="51"/>
    </row>
    <row r="62" spans="1:14">
      <c r="A62" s="1"/>
      <c r="B62" s="44">
        <f>ROW(B62) - ROW($B$9)</f>
        <v>53</v>
      </c>
      <c r="C62" s="53" t="s">
        <v>20</v>
      </c>
      <c r="D62" s="36" t="s">
        <v>79</v>
      </c>
      <c r="E62" s="36" t="s">
        <v>156</v>
      </c>
      <c r="F62" s="36" t="s">
        <v>203</v>
      </c>
      <c r="G62" s="36" t="s">
        <v>265</v>
      </c>
      <c r="H62" s="36" t="s">
        <v>286</v>
      </c>
      <c r="I62" s="36" t="s">
        <v>344</v>
      </c>
      <c r="J62" s="36">
        <v>2</v>
      </c>
      <c r="K62" s="36">
        <f>J62*5</f>
        <v>10</v>
      </c>
      <c r="L62" s="55"/>
      <c r="M62" s="36"/>
      <c r="N62" s="51"/>
    </row>
    <row r="63" spans="1:14">
      <c r="A63" s="1"/>
      <c r="B63" s="45">
        <f t="shared" si="0"/>
        <v>54</v>
      </c>
      <c r="C63" s="54" t="s">
        <v>20</v>
      </c>
      <c r="D63" s="47" t="s">
        <v>80</v>
      </c>
      <c r="E63" s="47" t="s">
        <v>157</v>
      </c>
      <c r="F63" s="47" t="s">
        <v>206</v>
      </c>
      <c r="G63" s="47" t="s">
        <v>266</v>
      </c>
      <c r="H63" s="47" t="s">
        <v>286</v>
      </c>
      <c r="I63" s="47" t="s">
        <v>345</v>
      </c>
      <c r="J63" s="47">
        <v>1</v>
      </c>
      <c r="K63" s="47">
        <f t="shared" ref="K63" si="27">J63*5</f>
        <v>5</v>
      </c>
      <c r="L63" s="55"/>
      <c r="M63" s="47"/>
      <c r="N63" s="51"/>
    </row>
    <row r="64" spans="1:14">
      <c r="A64" s="1"/>
      <c r="B64" s="44">
        <f>ROW(B64) - ROW($B$9)</f>
        <v>55</v>
      </c>
      <c r="C64" s="53" t="s">
        <v>20</v>
      </c>
      <c r="D64" s="60" t="s">
        <v>81</v>
      </c>
      <c r="E64" s="60" t="s">
        <v>146</v>
      </c>
      <c r="F64" s="60" t="s">
        <v>203</v>
      </c>
      <c r="G64" s="60" t="s">
        <v>255</v>
      </c>
      <c r="H64" s="60" t="s">
        <v>286</v>
      </c>
      <c r="I64" s="60" t="s">
        <v>346</v>
      </c>
      <c r="J64" s="60">
        <v>2</v>
      </c>
      <c r="K64" s="60">
        <f>J64*5</f>
        <v>10</v>
      </c>
      <c r="L64" s="60"/>
      <c r="M64" s="62" t="s">
        <v>364</v>
      </c>
      <c r="N64" s="61"/>
    </row>
    <row r="65" spans="1:14">
      <c r="A65" s="1"/>
      <c r="B65" s="45">
        <f t="shared" si="0"/>
        <v>56</v>
      </c>
      <c r="C65" s="54" t="s">
        <v>20</v>
      </c>
      <c r="D65" s="47" t="s">
        <v>82</v>
      </c>
      <c r="E65" s="47" t="s">
        <v>158</v>
      </c>
      <c r="F65" s="47" t="s">
        <v>206</v>
      </c>
      <c r="G65" s="47" t="s">
        <v>267</v>
      </c>
      <c r="H65" s="47" t="s">
        <v>286</v>
      </c>
      <c r="I65" s="47" t="s">
        <v>347</v>
      </c>
      <c r="J65" s="47">
        <v>2</v>
      </c>
      <c r="K65" s="47">
        <f t="shared" ref="K65" si="28">J65*5</f>
        <v>10</v>
      </c>
      <c r="L65" s="55"/>
      <c r="M65" s="47"/>
      <c r="N65" s="51"/>
    </row>
    <row r="66" spans="1:14">
      <c r="A66" s="1"/>
      <c r="B66" s="44">
        <f>ROW(B66) - ROW($B$9)</f>
        <v>57</v>
      </c>
      <c r="C66" s="53" t="s">
        <v>20</v>
      </c>
      <c r="D66" s="36" t="s">
        <v>83</v>
      </c>
      <c r="E66" s="36" t="s">
        <v>159</v>
      </c>
      <c r="F66" s="36" t="s">
        <v>203</v>
      </c>
      <c r="G66" s="36" t="s">
        <v>268</v>
      </c>
      <c r="H66" s="36" t="s">
        <v>286</v>
      </c>
      <c r="I66" s="36" t="s">
        <v>348</v>
      </c>
      <c r="J66" s="36">
        <v>1</v>
      </c>
      <c r="K66" s="36">
        <f>J66*5</f>
        <v>5</v>
      </c>
      <c r="L66" s="55"/>
      <c r="M66" s="36"/>
      <c r="N66" s="51"/>
    </row>
    <row r="67" spans="1:14">
      <c r="A67" s="1"/>
      <c r="B67" s="45">
        <f t="shared" si="0"/>
        <v>58</v>
      </c>
      <c r="C67" s="54" t="s">
        <v>20</v>
      </c>
      <c r="D67" s="47" t="s">
        <v>84</v>
      </c>
      <c r="E67" s="47" t="s">
        <v>160</v>
      </c>
      <c r="F67" s="47" t="s">
        <v>203</v>
      </c>
      <c r="G67" s="47" t="s">
        <v>269</v>
      </c>
      <c r="H67" s="47" t="s">
        <v>286</v>
      </c>
      <c r="I67" s="47" t="s">
        <v>349</v>
      </c>
      <c r="J67" s="47">
        <v>1</v>
      </c>
      <c r="K67" s="47">
        <f t="shared" ref="K67" si="29">J67*5</f>
        <v>5</v>
      </c>
      <c r="L67" s="55"/>
      <c r="M67" s="47"/>
      <c r="N67" s="51"/>
    </row>
    <row r="68" spans="1:14">
      <c r="A68" s="1"/>
      <c r="B68" s="44">
        <f>ROW(B68) - ROW($B$9)</f>
        <v>59</v>
      </c>
      <c r="C68" s="53" t="s">
        <v>20</v>
      </c>
      <c r="D68" s="36" t="s">
        <v>85</v>
      </c>
      <c r="E68" s="36" t="s">
        <v>161</v>
      </c>
      <c r="F68" s="36" t="s">
        <v>206</v>
      </c>
      <c r="G68" s="36" t="s">
        <v>270</v>
      </c>
      <c r="H68" s="36" t="s">
        <v>286</v>
      </c>
      <c r="I68" s="36" t="s">
        <v>350</v>
      </c>
      <c r="J68" s="36">
        <v>2</v>
      </c>
      <c r="K68" s="36">
        <f>J68*5</f>
        <v>10</v>
      </c>
      <c r="L68" s="55"/>
      <c r="M68" s="36"/>
      <c r="N68" s="51"/>
    </row>
    <row r="69" spans="1:14">
      <c r="A69" s="1"/>
      <c r="B69" s="45">
        <f t="shared" si="0"/>
        <v>60</v>
      </c>
      <c r="C69" s="54" t="s">
        <v>20</v>
      </c>
      <c r="D69" s="47" t="s">
        <v>86</v>
      </c>
      <c r="E69" s="47" t="s">
        <v>162</v>
      </c>
      <c r="F69" s="47" t="s">
        <v>206</v>
      </c>
      <c r="G69" s="47" t="s">
        <v>271</v>
      </c>
      <c r="H69" s="47" t="s">
        <v>286</v>
      </c>
      <c r="I69" s="47" t="s">
        <v>351</v>
      </c>
      <c r="J69" s="47">
        <v>2</v>
      </c>
      <c r="K69" s="47">
        <f t="shared" ref="K69" si="30">J69*5</f>
        <v>10</v>
      </c>
      <c r="L69" s="55"/>
      <c r="M69" s="47"/>
      <c r="N69" s="51"/>
    </row>
    <row r="70" spans="1:14">
      <c r="A70" s="1"/>
      <c r="B70" s="44">
        <f>ROW(B70) - ROW($B$9)</f>
        <v>61</v>
      </c>
      <c r="C70" s="53" t="s">
        <v>20</v>
      </c>
      <c r="D70" s="36" t="s">
        <v>87</v>
      </c>
      <c r="E70" s="36" t="s">
        <v>163</v>
      </c>
      <c r="F70" s="36" t="s">
        <v>203</v>
      </c>
      <c r="G70" s="36" t="s">
        <v>272</v>
      </c>
      <c r="H70" s="36" t="s">
        <v>286</v>
      </c>
      <c r="I70" s="36" t="s">
        <v>352</v>
      </c>
      <c r="J70" s="36">
        <v>2</v>
      </c>
      <c r="K70" s="36">
        <f>J70*5</f>
        <v>10</v>
      </c>
      <c r="L70" s="55"/>
      <c r="M70" s="36"/>
      <c r="N70" s="51"/>
    </row>
    <row r="71" spans="1:14">
      <c r="A71" s="1"/>
      <c r="B71" s="45">
        <f t="shared" si="0"/>
        <v>62</v>
      </c>
      <c r="C71" s="54" t="s">
        <v>21</v>
      </c>
      <c r="D71" s="63" t="s">
        <v>88</v>
      </c>
      <c r="E71" s="63" t="s">
        <v>164</v>
      </c>
      <c r="F71" s="63" t="s">
        <v>362</v>
      </c>
      <c r="G71" s="63" t="s">
        <v>209</v>
      </c>
      <c r="H71" s="63" t="s">
        <v>363</v>
      </c>
      <c r="I71" s="63" t="s">
        <v>363</v>
      </c>
      <c r="J71" s="63">
        <v>1</v>
      </c>
      <c r="K71" s="63">
        <f t="shared" ref="K71" si="31">J71*5</f>
        <v>5</v>
      </c>
      <c r="L71" s="60"/>
      <c r="M71" s="62" t="s">
        <v>364</v>
      </c>
      <c r="N71" s="51"/>
    </row>
    <row r="72" spans="1:14" ht="48">
      <c r="A72" s="1"/>
      <c r="B72" s="44">
        <f>ROW(B72) - ROW($B$9)</f>
        <v>63</v>
      </c>
      <c r="C72" s="53" t="s">
        <v>22</v>
      </c>
      <c r="D72" s="36" t="s">
        <v>89</v>
      </c>
      <c r="E72" s="36" t="s">
        <v>165</v>
      </c>
      <c r="F72" s="47" t="s">
        <v>362</v>
      </c>
      <c r="G72" s="36" t="s">
        <v>210</v>
      </c>
      <c r="H72" s="36" t="s">
        <v>298</v>
      </c>
      <c r="I72" s="36" t="s">
        <v>363</v>
      </c>
      <c r="J72" s="36">
        <v>2</v>
      </c>
      <c r="K72" s="36">
        <f>J72*5</f>
        <v>10</v>
      </c>
      <c r="L72" s="55"/>
      <c r="M72" s="36"/>
      <c r="N72" s="51"/>
    </row>
    <row r="73" spans="1:14">
      <c r="A73" s="1"/>
      <c r="B73" s="45">
        <f t="shared" si="0"/>
        <v>64</v>
      </c>
      <c r="C73" s="54" t="s">
        <v>23</v>
      </c>
      <c r="D73" s="47" t="s">
        <v>90</v>
      </c>
      <c r="E73" s="47" t="s">
        <v>166</v>
      </c>
      <c r="F73" s="47" t="s">
        <v>211</v>
      </c>
      <c r="G73" s="47" t="s">
        <v>273</v>
      </c>
      <c r="H73" s="47" t="s">
        <v>306</v>
      </c>
      <c r="I73" s="36" t="s">
        <v>363</v>
      </c>
      <c r="J73" s="47">
        <v>1</v>
      </c>
      <c r="K73" s="47">
        <f t="shared" ref="K73" si="32">J73*5</f>
        <v>5</v>
      </c>
      <c r="L73" s="55"/>
      <c r="M73" s="47"/>
      <c r="N73" s="51"/>
    </row>
    <row r="74" spans="1:14">
      <c r="A74" s="1"/>
      <c r="B74" s="44">
        <f>ROW(B74) - ROW($B$9)</f>
        <v>65</v>
      </c>
      <c r="C74" s="53" t="s">
        <v>23</v>
      </c>
      <c r="D74" s="36" t="s">
        <v>91</v>
      </c>
      <c r="E74" s="36" t="s">
        <v>167</v>
      </c>
      <c r="F74" s="36" t="s">
        <v>212</v>
      </c>
      <c r="G74" s="36" t="s">
        <v>274</v>
      </c>
      <c r="H74" s="36" t="s">
        <v>307</v>
      </c>
      <c r="I74" s="36" t="s">
        <v>363</v>
      </c>
      <c r="J74" s="36">
        <v>1</v>
      </c>
      <c r="K74" s="36">
        <f>J74*5</f>
        <v>5</v>
      </c>
      <c r="L74" s="55"/>
      <c r="M74" s="36"/>
      <c r="N74" s="51"/>
    </row>
    <row r="75" spans="1:14">
      <c r="A75" s="1"/>
      <c r="B75" s="45">
        <f t="shared" si="0"/>
        <v>66</v>
      </c>
      <c r="C75" s="54" t="s">
        <v>23</v>
      </c>
      <c r="D75" s="47" t="s">
        <v>92</v>
      </c>
      <c r="E75" s="47" t="s">
        <v>168</v>
      </c>
      <c r="F75" s="47" t="s">
        <v>213</v>
      </c>
      <c r="G75" s="47" t="s">
        <v>275</v>
      </c>
      <c r="H75" s="47" t="s">
        <v>306</v>
      </c>
      <c r="I75" s="36" t="s">
        <v>363</v>
      </c>
      <c r="J75" s="47">
        <v>4</v>
      </c>
      <c r="K75" s="47">
        <f t="shared" ref="K75" si="33">J75*5</f>
        <v>20</v>
      </c>
      <c r="L75" s="55"/>
      <c r="M75" s="47"/>
      <c r="N75" s="51"/>
    </row>
    <row r="76" spans="1:14" ht="24">
      <c r="A76" s="1"/>
      <c r="B76" s="44">
        <f>ROW(B76) - ROW($B$9)</f>
        <v>67</v>
      </c>
      <c r="C76" s="53" t="s">
        <v>23</v>
      </c>
      <c r="D76" s="36" t="s">
        <v>93</v>
      </c>
      <c r="E76" s="36" t="s">
        <v>169</v>
      </c>
      <c r="F76" s="36" t="s">
        <v>214</v>
      </c>
      <c r="G76" s="36" t="s">
        <v>276</v>
      </c>
      <c r="H76" s="36" t="s">
        <v>308</v>
      </c>
      <c r="I76" s="36" t="s">
        <v>363</v>
      </c>
      <c r="J76" s="36">
        <v>1</v>
      </c>
      <c r="K76" s="36">
        <f>J76*5</f>
        <v>5</v>
      </c>
      <c r="L76" s="55"/>
      <c r="M76" s="36"/>
      <c r="N76" s="51"/>
    </row>
    <row r="77" spans="1:14">
      <c r="A77" s="1"/>
      <c r="B77" s="45">
        <f t="shared" si="0"/>
        <v>68</v>
      </c>
      <c r="C77" s="54" t="s">
        <v>23</v>
      </c>
      <c r="D77" s="47" t="s">
        <v>94</v>
      </c>
      <c r="E77" s="47" t="s">
        <v>170</v>
      </c>
      <c r="F77" s="47" t="s">
        <v>202</v>
      </c>
      <c r="G77" s="47" t="s">
        <v>277</v>
      </c>
      <c r="H77" s="47" t="s">
        <v>309</v>
      </c>
      <c r="I77" s="36" t="s">
        <v>363</v>
      </c>
      <c r="J77" s="47">
        <v>1</v>
      </c>
      <c r="K77" s="47">
        <f t="shared" ref="K77" si="34">J77*5</f>
        <v>5</v>
      </c>
      <c r="L77" s="55"/>
      <c r="M77" s="47"/>
      <c r="N77" s="51"/>
    </row>
    <row r="78" spans="1:14">
      <c r="A78" s="1"/>
      <c r="B78" s="44">
        <f>ROW(B78) - ROW($B$9)</f>
        <v>69</v>
      </c>
      <c r="C78" s="53" t="s">
        <v>24</v>
      </c>
      <c r="D78" s="36" t="s">
        <v>95</v>
      </c>
      <c r="E78" s="36" t="s">
        <v>171</v>
      </c>
      <c r="F78" s="36" t="s">
        <v>215</v>
      </c>
      <c r="G78" s="36" t="s">
        <v>278</v>
      </c>
      <c r="H78" s="36" t="s">
        <v>310</v>
      </c>
      <c r="I78" s="36" t="s">
        <v>363</v>
      </c>
      <c r="J78" s="36">
        <v>1</v>
      </c>
      <c r="K78" s="36">
        <f>J78*5</f>
        <v>5</v>
      </c>
      <c r="L78" s="55"/>
      <c r="M78" s="36"/>
      <c r="N78" s="51"/>
    </row>
    <row r="79" spans="1:14">
      <c r="A79" s="1"/>
      <c r="B79" s="45">
        <f t="shared" si="0"/>
        <v>70</v>
      </c>
      <c r="C79" s="54" t="s">
        <v>23</v>
      </c>
      <c r="D79" s="47" t="s">
        <v>96</v>
      </c>
      <c r="E79" s="47" t="s">
        <v>172</v>
      </c>
      <c r="F79" s="47" t="s">
        <v>216</v>
      </c>
      <c r="G79" s="47" t="s">
        <v>279</v>
      </c>
      <c r="H79" s="47" t="s">
        <v>311</v>
      </c>
      <c r="I79" s="36" t="s">
        <v>363</v>
      </c>
      <c r="J79" s="47">
        <v>1</v>
      </c>
      <c r="K79" s="47">
        <f t="shared" ref="K79" si="35">J79*5</f>
        <v>5</v>
      </c>
      <c r="L79" s="55"/>
      <c r="M79" s="47"/>
      <c r="N79" s="51"/>
    </row>
    <row r="80" spans="1:14">
      <c r="A80" s="1"/>
      <c r="B80" s="44">
        <f>ROW(B80) - ROW($B$9)</f>
        <v>71</v>
      </c>
      <c r="C80" s="53" t="s">
        <v>23</v>
      </c>
      <c r="D80" s="36" t="s">
        <v>97</v>
      </c>
      <c r="E80" s="36" t="s">
        <v>173</v>
      </c>
      <c r="F80" s="36" t="s">
        <v>201</v>
      </c>
      <c r="G80" s="36" t="s">
        <v>280</v>
      </c>
      <c r="H80" s="36" t="s">
        <v>312</v>
      </c>
      <c r="I80" s="36" t="s">
        <v>363</v>
      </c>
      <c r="J80" s="36">
        <v>1</v>
      </c>
      <c r="K80" s="36">
        <f>J80*5</f>
        <v>5</v>
      </c>
      <c r="L80" s="55"/>
      <c r="M80" s="36"/>
      <c r="N80" s="51"/>
    </row>
    <row r="81" spans="1:14">
      <c r="A81" s="1"/>
      <c r="B81" s="45">
        <f t="shared" si="0"/>
        <v>72</v>
      </c>
      <c r="C81" s="54" t="s">
        <v>23</v>
      </c>
      <c r="D81" s="47" t="s">
        <v>98</v>
      </c>
      <c r="E81" s="47" t="s">
        <v>174</v>
      </c>
      <c r="F81" s="47" t="s">
        <v>214</v>
      </c>
      <c r="G81" s="47" t="s">
        <v>281</v>
      </c>
      <c r="H81" s="47" t="s">
        <v>313</v>
      </c>
      <c r="I81" s="36" t="s">
        <v>363</v>
      </c>
      <c r="J81" s="47">
        <v>2</v>
      </c>
      <c r="K81" s="47">
        <f t="shared" ref="K81" si="36">J81*5</f>
        <v>10</v>
      </c>
      <c r="L81" s="55"/>
      <c r="M81" s="47"/>
      <c r="N81" s="51"/>
    </row>
    <row r="82" spans="1:14">
      <c r="A82" s="1"/>
      <c r="B82" s="44">
        <f>ROW(B82) - ROW($B$9)</f>
        <v>73</v>
      </c>
      <c r="C82" s="53" t="s">
        <v>25</v>
      </c>
      <c r="D82" s="36" t="s">
        <v>99</v>
      </c>
      <c r="E82" s="36" t="s">
        <v>175</v>
      </c>
      <c r="F82" s="47" t="s">
        <v>362</v>
      </c>
      <c r="G82" s="36" t="s">
        <v>217</v>
      </c>
      <c r="H82" s="36" t="s">
        <v>314</v>
      </c>
      <c r="I82" s="36" t="s">
        <v>363</v>
      </c>
      <c r="J82" s="36">
        <v>3</v>
      </c>
      <c r="K82" s="36">
        <f>J82*5</f>
        <v>15</v>
      </c>
      <c r="L82" s="55"/>
      <c r="M82" s="36"/>
      <c r="N82" s="51"/>
    </row>
    <row r="83" spans="1:14">
      <c r="A83" s="1"/>
      <c r="B83" s="45">
        <f t="shared" si="0"/>
        <v>74</v>
      </c>
      <c r="C83" s="54" t="s">
        <v>23</v>
      </c>
      <c r="D83" s="47" t="s">
        <v>100</v>
      </c>
      <c r="E83" s="47" t="s">
        <v>176</v>
      </c>
      <c r="F83" s="47" t="s">
        <v>218</v>
      </c>
      <c r="G83" s="47" t="s">
        <v>282</v>
      </c>
      <c r="H83" s="47" t="s">
        <v>306</v>
      </c>
      <c r="I83" s="36" t="s">
        <v>363</v>
      </c>
      <c r="J83" s="47">
        <v>1</v>
      </c>
      <c r="K83" s="47">
        <f t="shared" ref="K83" si="37">J83*5</f>
        <v>5</v>
      </c>
      <c r="L83" s="55"/>
      <c r="M83" s="47"/>
      <c r="N83" s="51"/>
    </row>
    <row r="84" spans="1:14" s="66" customFormat="1">
      <c r="A84" s="65"/>
      <c r="B84" s="44">
        <f>ROW(B84) - ROW($B$9)</f>
        <v>75</v>
      </c>
      <c r="C84" s="53" t="s">
        <v>23</v>
      </c>
      <c r="D84" s="36" t="s">
        <v>101</v>
      </c>
      <c r="E84" s="36" t="s">
        <v>177</v>
      </c>
      <c r="F84" s="36" t="s">
        <v>219</v>
      </c>
      <c r="G84" s="36" t="s">
        <v>283</v>
      </c>
      <c r="H84" s="36" t="s">
        <v>315</v>
      </c>
      <c r="I84" s="36" t="s">
        <v>363</v>
      </c>
      <c r="J84" s="36">
        <v>1</v>
      </c>
      <c r="K84" s="36">
        <f>J84*5</f>
        <v>5</v>
      </c>
      <c r="L84" s="55"/>
      <c r="M84" s="36"/>
      <c r="N84" s="51"/>
    </row>
    <row r="85" spans="1:14" s="66" customFormat="1" ht="24">
      <c r="A85" s="65"/>
      <c r="B85" s="45">
        <f t="shared" si="0"/>
        <v>76</v>
      </c>
      <c r="C85" s="54" t="s">
        <v>26</v>
      </c>
      <c r="D85" s="47" t="s">
        <v>102</v>
      </c>
      <c r="E85" s="47" t="s">
        <v>178</v>
      </c>
      <c r="F85" s="47" t="s">
        <v>362</v>
      </c>
      <c r="G85" s="47" t="s">
        <v>284</v>
      </c>
      <c r="H85" s="47" t="s">
        <v>316</v>
      </c>
      <c r="I85" s="47" t="s">
        <v>353</v>
      </c>
      <c r="J85" s="47">
        <v>1</v>
      </c>
      <c r="K85" s="47">
        <f t="shared" ref="K85:K86" si="38">J85*5</f>
        <v>5</v>
      </c>
      <c r="L85" s="55"/>
      <c r="M85" s="47"/>
      <c r="N85" s="51"/>
    </row>
    <row r="86" spans="1:14" s="66" customFormat="1" ht="24">
      <c r="A86" s="65"/>
      <c r="B86" s="45">
        <f t="shared" si="0"/>
        <v>77</v>
      </c>
      <c r="C86" s="54" t="s">
        <v>366</v>
      </c>
      <c r="D86" s="47" t="s">
        <v>363</v>
      </c>
      <c r="E86" s="47" t="s">
        <v>368</v>
      </c>
      <c r="F86" s="47" t="s">
        <v>363</v>
      </c>
      <c r="G86" s="47" t="s">
        <v>367</v>
      </c>
      <c r="H86" s="47" t="s">
        <v>363</v>
      </c>
      <c r="I86" s="47" t="s">
        <v>363</v>
      </c>
      <c r="J86" s="47">
        <v>1</v>
      </c>
      <c r="K86" s="47">
        <f t="shared" si="38"/>
        <v>5</v>
      </c>
      <c r="L86" s="55" t="s">
        <v>370</v>
      </c>
      <c r="M86" s="47"/>
      <c r="N86" s="51"/>
    </row>
    <row r="87" spans="1:14" ht="15.75" thickBot="1">
      <c r="A87" s="1"/>
      <c r="B87" s="45">
        <f t="shared" ref="B87" si="39">ROW(B87) - ROW($B$9)</f>
        <v>78</v>
      </c>
      <c r="C87" s="54" t="s">
        <v>366</v>
      </c>
      <c r="D87" s="47"/>
      <c r="E87" s="47"/>
      <c r="F87" s="47"/>
      <c r="G87" s="47" t="s">
        <v>369</v>
      </c>
      <c r="H87" s="47"/>
      <c r="I87" s="47"/>
      <c r="J87" s="47"/>
      <c r="K87" s="47"/>
      <c r="L87" s="55"/>
      <c r="M87" s="47"/>
      <c r="N87" s="37"/>
    </row>
    <row r="88" spans="1:14" ht="19.5" thickBot="1">
      <c r="A88" s="1"/>
      <c r="B88" s="38"/>
      <c r="C88" s="39"/>
      <c r="D88" s="40"/>
      <c r="E88" s="41"/>
      <c r="F88" s="42"/>
      <c r="G88" s="43"/>
      <c r="H88" s="42"/>
      <c r="I88" s="43"/>
      <c r="J88" s="43"/>
      <c r="K88" s="43"/>
      <c r="L88" s="64"/>
      <c r="M88" s="72"/>
      <c r="N88" s="73"/>
    </row>
    <row r="89" spans="1:14" ht="19.5" thickBot="1">
      <c r="A89" s="1"/>
      <c r="B89" s="25"/>
      <c r="C89" s="35"/>
      <c r="D89" s="9"/>
      <c r="E89" s="10"/>
      <c r="F89" s="10"/>
      <c r="G89" s="10"/>
      <c r="H89" s="10"/>
      <c r="I89" s="10"/>
      <c r="J89" s="10"/>
      <c r="K89" s="10"/>
      <c r="L89" s="64"/>
      <c r="M89" s="74"/>
      <c r="N89" s="75"/>
    </row>
  </sheetData>
  <mergeCells count="3">
    <mergeCell ref="I1:N1"/>
    <mergeCell ref="N3:N8"/>
    <mergeCell ref="M88:N89"/>
  </mergeCells>
  <hyperlinks>
    <hyperlink ref="L86" r:id="rId1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2023-11-30T08:35:35Z</dcterms:modified>
</cp:coreProperties>
</file>