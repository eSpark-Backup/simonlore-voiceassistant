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simonlore-voiceassistant\Design-Files\Main-Board-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Q85" i="1" l="1"/>
  <c r="M85" i="1"/>
  <c r="B85" i="1"/>
  <c r="Q84" i="1"/>
  <c r="M84" i="1"/>
  <c r="B84" i="1"/>
  <c r="Q83" i="1"/>
  <c r="M83" i="1"/>
  <c r="B83" i="1"/>
  <c r="Q82" i="1"/>
  <c r="M82" i="1"/>
  <c r="B82" i="1"/>
  <c r="Q81" i="1"/>
  <c r="M81" i="1"/>
  <c r="B81" i="1"/>
  <c r="Q80" i="1"/>
  <c r="M80" i="1"/>
  <c r="B80" i="1"/>
  <c r="Q79" i="1"/>
  <c r="M79" i="1"/>
  <c r="B79" i="1"/>
  <c r="Q78" i="1"/>
  <c r="M78" i="1"/>
  <c r="B78" i="1"/>
  <c r="Q77" i="1"/>
  <c r="M77" i="1"/>
  <c r="B77" i="1"/>
  <c r="Q76" i="1"/>
  <c r="M76" i="1"/>
  <c r="B76" i="1"/>
  <c r="Q75" i="1"/>
  <c r="M75" i="1"/>
  <c r="B75" i="1"/>
  <c r="Q74" i="1"/>
  <c r="M74" i="1"/>
  <c r="B74" i="1"/>
  <c r="Q73" i="1"/>
  <c r="M73" i="1"/>
  <c r="B73" i="1"/>
  <c r="Q72" i="1"/>
  <c r="M72" i="1"/>
  <c r="B72" i="1"/>
  <c r="M71" i="1"/>
  <c r="B71" i="1"/>
  <c r="Q70" i="1"/>
  <c r="M70" i="1"/>
  <c r="B70" i="1"/>
  <c r="Q69" i="1"/>
  <c r="M69" i="1"/>
  <c r="B69" i="1"/>
  <c r="Q68" i="1"/>
  <c r="M68" i="1"/>
  <c r="B68" i="1"/>
  <c r="Q67" i="1"/>
  <c r="M67" i="1"/>
  <c r="B67" i="1"/>
  <c r="Q66" i="1"/>
  <c r="M66" i="1"/>
  <c r="B66" i="1"/>
  <c r="Q65" i="1"/>
  <c r="M65" i="1"/>
  <c r="B65" i="1"/>
  <c r="M64" i="1"/>
  <c r="B64" i="1"/>
  <c r="Q63" i="1"/>
  <c r="M63" i="1"/>
  <c r="B63" i="1"/>
  <c r="Q62" i="1"/>
  <c r="M62" i="1"/>
  <c r="B62" i="1"/>
  <c r="Q61" i="1"/>
  <c r="M61" i="1"/>
  <c r="B61" i="1"/>
  <c r="Q60" i="1"/>
  <c r="M60" i="1"/>
  <c r="B60" i="1"/>
  <c r="Q59" i="1"/>
  <c r="M59" i="1"/>
  <c r="B59" i="1"/>
  <c r="Q58" i="1"/>
  <c r="M58" i="1"/>
  <c r="B58" i="1"/>
  <c r="Q57" i="1"/>
  <c r="M57" i="1"/>
  <c r="B57" i="1"/>
  <c r="Q56" i="1"/>
  <c r="M56" i="1"/>
  <c r="B56" i="1"/>
  <c r="Q55" i="1"/>
  <c r="M55" i="1"/>
  <c r="B55" i="1"/>
  <c r="Q54" i="1"/>
  <c r="M54" i="1"/>
  <c r="B54" i="1"/>
  <c r="Q53" i="1"/>
  <c r="Q86" i="1" s="1"/>
  <c r="M53" i="1"/>
  <c r="B53" i="1"/>
  <c r="Q52" i="1"/>
  <c r="M52" i="1"/>
  <c r="B52" i="1"/>
  <c r="Q51" i="1"/>
  <c r="M51" i="1"/>
  <c r="B51" i="1"/>
  <c r="Q50" i="1"/>
  <c r="M50" i="1"/>
  <c r="B50" i="1"/>
  <c r="Q49" i="1"/>
  <c r="M49" i="1"/>
  <c r="B49" i="1"/>
  <c r="Q48" i="1"/>
  <c r="M48" i="1"/>
  <c r="B48" i="1"/>
  <c r="Q47" i="1"/>
  <c r="M47" i="1"/>
  <c r="B47" i="1"/>
  <c r="Q46" i="1"/>
  <c r="M46" i="1"/>
  <c r="B46" i="1"/>
  <c r="Q45" i="1"/>
  <c r="M45" i="1"/>
  <c r="B45" i="1"/>
  <c r="Q44" i="1"/>
  <c r="M44" i="1"/>
  <c r="B44" i="1"/>
  <c r="Q43" i="1"/>
  <c r="M43" i="1"/>
  <c r="B43" i="1"/>
  <c r="M42" i="1"/>
  <c r="B42" i="1"/>
  <c r="Q41" i="1"/>
  <c r="M41" i="1"/>
  <c r="B41" i="1"/>
  <c r="Q40" i="1"/>
  <c r="M40" i="1"/>
  <c r="B40" i="1"/>
  <c r="Q39" i="1"/>
  <c r="M39" i="1"/>
  <c r="B39" i="1"/>
  <c r="Q38" i="1"/>
  <c r="M38" i="1"/>
  <c r="B38" i="1"/>
  <c r="Q37" i="1"/>
  <c r="M37" i="1"/>
  <c r="B37" i="1"/>
  <c r="Q36" i="1"/>
  <c r="M36" i="1"/>
  <c r="B36" i="1"/>
  <c r="Q35" i="1"/>
  <c r="M35" i="1"/>
  <c r="B35" i="1"/>
  <c r="Q34" i="1"/>
  <c r="M34" i="1"/>
  <c r="B34" i="1"/>
  <c r="Q33" i="1"/>
  <c r="M33" i="1"/>
  <c r="B33" i="1"/>
  <c r="Q32" i="1"/>
  <c r="M32" i="1"/>
  <c r="B32" i="1"/>
  <c r="Q31" i="1"/>
  <c r="M31" i="1"/>
  <c r="B31" i="1"/>
  <c r="Q30" i="1"/>
  <c r="M30" i="1"/>
  <c r="B30" i="1"/>
  <c r="Q29" i="1"/>
  <c r="M29" i="1"/>
  <c r="B29" i="1"/>
  <c r="Q28" i="1"/>
  <c r="M28" i="1"/>
  <c r="B28" i="1"/>
  <c r="Q27" i="1"/>
  <c r="M27" i="1"/>
  <c r="B27" i="1"/>
  <c r="Q26" i="1"/>
  <c r="M26" i="1"/>
  <c r="B26" i="1"/>
  <c r="Q25" i="1"/>
  <c r="M25" i="1"/>
  <c r="B25" i="1"/>
  <c r="Q24" i="1"/>
  <c r="M24" i="1"/>
  <c r="B24" i="1"/>
  <c r="Q23" i="1"/>
  <c r="M23" i="1"/>
  <c r="B23" i="1"/>
  <c r="Q22" i="1"/>
  <c r="M22" i="1"/>
  <c r="B22" i="1"/>
  <c r="Q21" i="1"/>
  <c r="M21" i="1"/>
  <c r="B21" i="1"/>
  <c r="Q20" i="1"/>
  <c r="M20" i="1"/>
  <c r="B20" i="1"/>
  <c r="Q19" i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87" i="1" l="1"/>
  <c r="Q11" i="1"/>
  <c r="Q10" i="1"/>
  <c r="M11" i="1"/>
  <c r="M10" i="1"/>
  <c r="B11" i="1"/>
  <c r="B10" i="1"/>
</calcChain>
</file>

<file path=xl/sharedStrings.xml><?xml version="1.0" encoding="utf-8"?>
<sst xmlns="http://schemas.openxmlformats.org/spreadsheetml/2006/main" count="721" uniqueCount="446">
  <si>
    <t>Component list</t>
  </si>
  <si>
    <t>Source Data From:</t>
  </si>
  <si>
    <t>Project:</t>
  </si>
  <si>
    <t>Variant:</t>
  </si>
  <si>
    <t>#</t>
  </si>
  <si>
    <t xml:space="preserve">Total Component Cost </t>
  </si>
  <si>
    <t>Single Board Cost</t>
  </si>
  <si>
    <t>None</t>
  </si>
  <si>
    <t>Item Type</t>
  </si>
  <si>
    <t>Capacitor</t>
  </si>
  <si>
    <t>Diode</t>
  </si>
  <si>
    <t>Ferrite Bead</t>
  </si>
  <si>
    <t>USB Connector</t>
  </si>
  <si>
    <t>Right Angle JST</t>
  </si>
  <si>
    <t>Connector</t>
  </si>
  <si>
    <t>Male Header</t>
  </si>
  <si>
    <t>SD Card Connector</t>
  </si>
  <si>
    <t>Board / Wire To Wire Connector</t>
  </si>
  <si>
    <t>Inductor</t>
  </si>
  <si>
    <t>LED</t>
  </si>
  <si>
    <t>TEST POINT</t>
  </si>
  <si>
    <t>MOSFET</t>
  </si>
  <si>
    <t>Resistor</t>
  </si>
  <si>
    <t>Solder Bridge</t>
  </si>
  <si>
    <t>Switch</t>
  </si>
  <si>
    <t>IC</t>
  </si>
  <si>
    <t>Module</t>
  </si>
  <si>
    <t>Microphone</t>
  </si>
  <si>
    <t>Crystal</t>
  </si>
  <si>
    <t>Designator</t>
  </si>
  <si>
    <t>C1, C7, C8, C11, C12, C13, C16, C17, C59, C60, C69, C70, C81, C89, C92</t>
  </si>
  <si>
    <t>C2</t>
  </si>
  <si>
    <t>C3, C19, C20, C51, C52</t>
  </si>
  <si>
    <t>C6</t>
  </si>
  <si>
    <t>C10, C22</t>
  </si>
  <si>
    <t>C18</t>
  </si>
  <si>
    <t>C42, C43</t>
  </si>
  <si>
    <t>C45, C47, C48, C49, C50, C61, C62, C67, C68, C83, C84, C85, C93</t>
  </si>
  <si>
    <t>C55, C56, C79, C80</t>
  </si>
  <si>
    <t>C57, C58, C71, C72</t>
  </si>
  <si>
    <t>C63, C64</t>
  </si>
  <si>
    <t>C65, C66</t>
  </si>
  <si>
    <t>C75, C76, C77, C78</t>
  </si>
  <si>
    <t>C95</t>
  </si>
  <si>
    <t>D1</t>
  </si>
  <si>
    <t>D2</t>
  </si>
  <si>
    <t>D3, D4</t>
  </si>
  <si>
    <t>D5, D6, D7, D8, D9, D10, D11</t>
  </si>
  <si>
    <t>FB1, FB3, FB4, FB5, FB6, FB7, FB8, FB9, FB10</t>
  </si>
  <si>
    <t>FB2</t>
  </si>
  <si>
    <t>J1</t>
  </si>
  <si>
    <t>J2, J6, J7</t>
  </si>
  <si>
    <t>J3</t>
  </si>
  <si>
    <t>J4</t>
  </si>
  <si>
    <t>J5</t>
  </si>
  <si>
    <t>J8</t>
  </si>
  <si>
    <t>J9, J10, J11</t>
  </si>
  <si>
    <t>L1, L2, L3</t>
  </si>
  <si>
    <t>L4, L5, L6, L7</t>
  </si>
  <si>
    <t>LED1, LED3</t>
  </si>
  <si>
    <t>LED2</t>
  </si>
  <si>
    <t>P1, P2, P3, P4, P5, P6, P7, P8, P9, P10, P11, P12, P13, P14, P15, P16, P17, P18, P19, P20, P21, P22, P23, P24, P25, P26, P27</t>
  </si>
  <si>
    <t>Q1, Q2</t>
  </si>
  <si>
    <t>Q3</t>
  </si>
  <si>
    <t>Q4, Q5</t>
  </si>
  <si>
    <t>R1, R2, R28, R36, R72, R73, R74, R89, R90, R91, R92, R148</t>
  </si>
  <si>
    <t>R3</t>
  </si>
  <si>
    <t>R4, R6, R7, R15, R16, R26, R27, R31, R38, R66, R68, R69, R70, R71, R129, R130, R131, R132, R133, R134, R135, R137, R139, R144, R145</t>
  </si>
  <si>
    <t>R5, R17</t>
  </si>
  <si>
    <t>R8, R18, R146</t>
  </si>
  <si>
    <t>R9, R19, R147</t>
  </si>
  <si>
    <t>R10, R23, R29, R39, R40</t>
  </si>
  <si>
    <t>R11, R12, R13, R14</t>
  </si>
  <si>
    <t>R20, R21</t>
  </si>
  <si>
    <t>R22</t>
  </si>
  <si>
    <t>R24</t>
  </si>
  <si>
    <t>R25</t>
  </si>
  <si>
    <t>R30, R32, R33, R34, R37, R41, R42, R43, R44, R45, R46, R47, R48, R49, R50, R51, R52, R53, R54, R55, R56, R57, R58, R59, R60, R61, R62, R63, R64, R65, R67</t>
  </si>
  <si>
    <t>R35, R112, R113, R114, R116</t>
  </si>
  <si>
    <t>R75, R76, R77, R78, R79, R80, R81, R82, R83, R84, R85, R86, R87, R88, R93, R94, R95, R96, R97, R98, R99, R100, R101, R102, R103, R104, R105, R106, R107, R108, R136, R138, R140, R141, R142, R143</t>
  </si>
  <si>
    <t>R109</t>
  </si>
  <si>
    <t>R110, R111</t>
  </si>
  <si>
    <t>R115</t>
  </si>
  <si>
    <t>R117, R128</t>
  </si>
  <si>
    <t>R118, R119</t>
  </si>
  <si>
    <t>R120</t>
  </si>
  <si>
    <t>R121</t>
  </si>
  <si>
    <t>R122, R124</t>
  </si>
  <si>
    <t>R123, R125</t>
  </si>
  <si>
    <t>R126, R127</t>
  </si>
  <si>
    <t>SB1</t>
  </si>
  <si>
    <t>SW1, SW2</t>
  </si>
  <si>
    <t>U1</t>
  </si>
  <si>
    <t>U2</t>
  </si>
  <si>
    <t>U3, U4, U5, U16</t>
  </si>
  <si>
    <t>U6</t>
  </si>
  <si>
    <t>U7</t>
  </si>
  <si>
    <t>U8</t>
  </si>
  <si>
    <t>U9</t>
  </si>
  <si>
    <t>U10</t>
  </si>
  <si>
    <t>U11, U12</t>
  </si>
  <si>
    <t>U13, U14, U15</t>
  </si>
  <si>
    <t>U17</t>
  </si>
  <si>
    <t>U18</t>
  </si>
  <si>
    <t>X1</t>
  </si>
  <si>
    <t>Description</t>
  </si>
  <si>
    <t>CAP CER 10UF 16V X5R 0603</t>
  </si>
  <si>
    <t>CAP CER 10000PF 50V C0G/NPO 0603</t>
  </si>
  <si>
    <t>CAP CER 22UF 16V X5R 0805</t>
  </si>
  <si>
    <t>CAP CER 0.1UF 16V X5R 0402</t>
  </si>
  <si>
    <t>CAP CER 22UF 10V X5R 0603</t>
  </si>
  <si>
    <t>CAP TANT 100UF 20% 25V 2917</t>
  </si>
  <si>
    <t>CAP CER 4700PF 1KV X7R 1206</t>
  </si>
  <si>
    <t>CAP CER 18PF 50V C0G/NPO 0603</t>
  </si>
  <si>
    <t>CAP CER 1UF 25V X5R 0402</t>
  </si>
  <si>
    <t>CAP CER 39PF 50V C0G/NPO 0402</t>
  </si>
  <si>
    <t>470uF 16V ±20% SMD,D6.3xL7.7mm Aluminum Electrolytic Capacitors - SMD ROHS</t>
  </si>
  <si>
    <t>CAP CER 1000PF 25V C0G/NPO 0603</t>
  </si>
  <si>
    <t>CAP CER 3300PF 50V C0G/NPO 0603</t>
  </si>
  <si>
    <t>CAP CER 330PF 50V C0G/NPO 0603</t>
  </si>
  <si>
    <t>CAP CER 0.22UF 25V X5R 0402</t>
  </si>
  <si>
    <t>SOD-523 ESD Protection Devices ROHS</t>
  </si>
  <si>
    <t>DIODE SCHOTTKY 40V 1A SOD123</t>
  </si>
  <si>
    <t>0.5mA@40V 40V Single 3A 0.55V@3A SMA(DO-214AC) Schottky Barrier Diodes (SBD) ROHS</t>
  </si>
  <si>
    <t>5V 10V 3.3V Bi-Directional SOD-882 ESD Protection Devices ROHS</t>
  </si>
  <si>
    <t>FERRITE BEAD 120 OHM 0603 1LN</t>
  </si>
  <si>
    <t>FERRITE BEAD 120 OHM 1206 1LN</t>
  </si>
  <si>
    <t>USB 3.1 1 Surface Mount 6 Female -25℃~+85℃ Type-C SMD USB Connectors ROHS</t>
  </si>
  <si>
    <t>1x2P 1 2mm Male pin 2 -25℃~+85℃ 2A Surface Mount SMD,P=2mm Wire To Board / Wire To Wire Connector ROHS</t>
  </si>
  <si>
    <t>1x6P SH 1 1mm 6 SMD,P=1mm Wire To Board / Wire To Wire Connector ROHS</t>
  </si>
  <si>
    <t>Gold 250V 3A Straight Square Pins 2.5mm 2P 260℃ 6mm -40℃~+105℃ 3mm 2.54mm Plugin Black Brass 1x2P Plugin,P=2.54mm Pin Headers ROHS</t>
  </si>
  <si>
    <t>-20℃~+70℃ 3.5mm headphone jack 235℃ 12V 0.5A SMD Audio Connectors ROHS</t>
  </si>
  <si>
    <t>CONN MICRO SD CARD PUSH-PUSH R/A</t>
  </si>
  <si>
    <t>1x9P 1 Tin 1mm male 9 260℃ -25℃~+85℃ Brass 1A Surface Mount SMD,P=1mm Wire To Board / Wire To Wire Connector ROHS</t>
  </si>
  <si>
    <t>4.5A 4.7uH ±20% SMD,10.1x10.1mm Power Inductors ROHS</t>
  </si>
  <si>
    <t>3.6A 33uH Shielded Power Inductors ±20% 4.25A SMD,12.5x12.5mm Power Inductors ROHS</t>
  </si>
  <si>
    <t>RED LED 0603 Light Emitting Diodes</t>
  </si>
  <si>
    <t>Emerald 0603 Light Emitting Diodes (LED) ROHS</t>
  </si>
  <si>
    <t>Test Point ON</t>
  </si>
  <si>
    <t>MOSFET P-CH 12V 16A 8SO</t>
  </si>
  <si>
    <t>25V 300mW 120@100mA,1V 1.5A NPN SOT-23 Bipolar Transistors - BJT ROHS</t>
  </si>
  <si>
    <t>50V 0.2A 225mW 3.5Ω@5V,200mA N Channel SOT-23 MOSFETs ROHS</t>
  </si>
  <si>
    <t>RES 100K OHM 1% 1/16W 0402</t>
  </si>
  <si>
    <t>2W Thick Film Resistors ±200ppm/℃ ±1% 0Ω 2512 Chip Resistor - Surface Mount ROHS</t>
  </si>
  <si>
    <t>RES 10K OHM 1% 1/16W 0402</t>
  </si>
  <si>
    <t>RES 0 OHM JUMPER 1/16W 0402</t>
  </si>
  <si>
    <t>RES SMD 52.3KOHM 0.1% 1/16W 0402</t>
  </si>
  <si>
    <t>RES SMD 30.1KOHM 0.1% 1/16W 0402</t>
  </si>
  <si>
    <t>RES 1K OHM 1% 1/16W 0402</t>
  </si>
  <si>
    <t>RES 0 OHM JUMPER 1/8W 0805</t>
  </si>
  <si>
    <t>RES 5.1K OHM 1% 1/16W 0402</t>
  </si>
  <si>
    <t>RES SMD 1M OHM 1% 1/10W 0603</t>
  </si>
  <si>
    <t>RES SMD 316 OHM 0.1% 1/8W 0805</t>
  </si>
  <si>
    <t>RES 1K OHM 1% 1/8W 0805</t>
  </si>
  <si>
    <t>RES SMD 0 OHM JUMPER 1/20W 0201</t>
  </si>
  <si>
    <t>RES 0 OHM JUMPER 1/10W 0603</t>
  </si>
  <si>
    <t>RES 33 OHM 1% 1/20W 0201</t>
  </si>
  <si>
    <t>RES 3.3K OHM 1% 1/20W 0201</t>
  </si>
  <si>
    <t>RES 56K OHM 1% 1/16W 0402</t>
  </si>
  <si>
    <t>RES 22.1K OHM 1% 1/10W 0603</t>
  </si>
  <si>
    <t>RES 1 OHM 1% 1/10W 0603</t>
  </si>
  <si>
    <t>RES SMD 18K OHM 0.1% 1/16W 0402</t>
  </si>
  <si>
    <t>RES SMD 28K OHM 0.1% 1/16W 0402</t>
  </si>
  <si>
    <t>RES SMD 510K OHM 0.1% 1/10W 0603</t>
  </si>
  <si>
    <t>RES SMD 110K OHM 0.1% 1/10W 0603</t>
  </si>
  <si>
    <t>RES 30K OHM 1% 1/16W 0402</t>
  </si>
  <si>
    <t>Solder Bridge ON</t>
  </si>
  <si>
    <t>No NO 50mA 4.5mm 100000 260gf 12V -30℃~+85℃ 4.5mm 4.3mm Black Round Button Brick nogging SPST SMD Tactile Switches ROHS</t>
  </si>
  <si>
    <t>IC REG LINEAR 3.3V 1A SOT223-6</t>
  </si>
  <si>
    <t>IC CNTRLR ON/OFF W/DEB TSOT23-6</t>
  </si>
  <si>
    <t>IC REG LIN POS ADJ 400MA SOT23-5</t>
  </si>
  <si>
    <t>4V~6V Polymer 1 3.5A SOP-8-EP Battery Management ICs ROHS</t>
  </si>
  <si>
    <t>IC SUPERVISOR 1 CHANNEL SOT23-3</t>
  </si>
  <si>
    <t>RF TXRX MODULE BT PCB TRACE SMD</t>
  </si>
  <si>
    <t>IC AUDIO SIGNAL PROCESSOR 64QFN</t>
  </si>
  <si>
    <t>IC FLASH 16MBIT SPI/QUAD 8SOIC</t>
  </si>
  <si>
    <t>SOP8L-PP Audio Power OpAmps ROHS</t>
  </si>
  <si>
    <t>MIC MEMS DIGITAL PDM OMNI -26DB</t>
  </si>
  <si>
    <t>IC XPNDR 100KHZ I2C 20TSSOP</t>
  </si>
  <si>
    <t>IC LED DRVR LIN PWM 20MA 28QFN</t>
  </si>
  <si>
    <t>12MHz 18pF ±10ppm SMD2520-4P Crystals ROHS</t>
  </si>
  <si>
    <t>Footprint</t>
  </si>
  <si>
    <t>Cap-0603</t>
  </si>
  <si>
    <t>Cap-0805</t>
  </si>
  <si>
    <t>Cap-0402</t>
  </si>
  <si>
    <t>Case-E</t>
  </si>
  <si>
    <t>Cap-1206</t>
  </si>
  <si>
    <t>RVT1C471M0607</t>
  </si>
  <si>
    <t>CAP-0603</t>
  </si>
  <si>
    <t>SOD-523</t>
  </si>
  <si>
    <t>SOD-123</t>
  </si>
  <si>
    <t>SMA</t>
  </si>
  <si>
    <t>SOD-882</t>
  </si>
  <si>
    <t>IND-0603 (1608 Metric)</t>
  </si>
  <si>
    <t>IND-1206</t>
  </si>
  <si>
    <t>U262-061N-4BVC11</t>
  </si>
  <si>
    <t>WAFER-PH2.0-2PWB</t>
  </si>
  <si>
    <t>DM3BT-DSF-PEJS</t>
  </si>
  <si>
    <t>X1002WRS-09E-LPSWHF</t>
  </si>
  <si>
    <t>YSLF1045-4R7M</t>
  </si>
  <si>
    <t>SMDRI129-330MT</t>
  </si>
  <si>
    <t>LED-0603</t>
  </si>
  <si>
    <t>Test-point</t>
  </si>
  <si>
    <t>SOP-8</t>
  </si>
  <si>
    <t>SOT-23</t>
  </si>
  <si>
    <t>Res-0402</t>
  </si>
  <si>
    <t>RES-2512</t>
  </si>
  <si>
    <t>Res-0805</t>
  </si>
  <si>
    <t>Res-0603</t>
  </si>
  <si>
    <t>RES-0805</t>
  </si>
  <si>
    <t>Res-0201</t>
  </si>
  <si>
    <t>Solder Bridge 0402</t>
  </si>
  <si>
    <t>TS-1109S-C-B</t>
  </si>
  <si>
    <t>SOT-223-6_</t>
  </si>
  <si>
    <t>TSOT-23-6</t>
  </si>
  <si>
    <t>SOT-23-5</t>
  </si>
  <si>
    <t>8-SO-EP_</t>
  </si>
  <si>
    <t>38-SMD Module</t>
  </si>
  <si>
    <t>QFN-64-EP(9x9)</t>
  </si>
  <si>
    <t>MP34DT06JTR</t>
  </si>
  <si>
    <t>TSSOP-20</t>
  </si>
  <si>
    <t>QFN-28-EP(4x4)</t>
  </si>
  <si>
    <t>Manufacturer Part Number</t>
  </si>
  <si>
    <t>CC0603KRX5R7BB106</t>
  </si>
  <si>
    <t>CC0603JRNPO9BN103</t>
  </si>
  <si>
    <t>CL21A226MOCLRNC</t>
  </si>
  <si>
    <t>CC0402KRX5R7BB104</t>
  </si>
  <si>
    <t>CC0603MRX5R6BB226</t>
  </si>
  <si>
    <t>TAJE107M025RNJ</t>
  </si>
  <si>
    <t>CC1206KKX7RCBB472</t>
  </si>
  <si>
    <t>CC0603JRNPO9BN180</t>
  </si>
  <si>
    <t>CC0402KRX5R8BB105</t>
  </si>
  <si>
    <t>CC0402FRNPO9BN390</t>
  </si>
  <si>
    <t>CC0603JRNPO8BN102</t>
  </si>
  <si>
    <t>CC0603JRNPO9BN332</t>
  </si>
  <si>
    <t>CC0603JRNPO9BN331</t>
  </si>
  <si>
    <t>CC0402KRX5R8BB224</t>
  </si>
  <si>
    <t>LESD5D5.0CT1G</t>
  </si>
  <si>
    <t>1N5819HW-7-F</t>
  </si>
  <si>
    <t>SS34</t>
  </si>
  <si>
    <t>LESD8D3.3CAT5G</t>
  </si>
  <si>
    <t>BLM18SG121TZ1D</t>
  </si>
  <si>
    <t>BLM31KN121SZ1L</t>
  </si>
  <si>
    <t>C145963</t>
  </si>
  <si>
    <t>X6511WV-02H-C60D30</t>
  </si>
  <si>
    <t>PJ-342B-TX-SMT</t>
  </si>
  <si>
    <t>NCD0603R3</t>
  </si>
  <si>
    <t>NCD0603G2</t>
  </si>
  <si>
    <t>IRF7410TRPBF</t>
  </si>
  <si>
    <t>SS8050-G</t>
  </si>
  <si>
    <t>LBSS138LT1G</t>
  </si>
  <si>
    <t>RC0402FR-07100KL</t>
  </si>
  <si>
    <t>FRP2512F0000TS</t>
  </si>
  <si>
    <t>RC0402FR-0710KL</t>
  </si>
  <si>
    <t>RC0402FR-070RL</t>
  </si>
  <si>
    <t>RT0402BRD0752K3L</t>
  </si>
  <si>
    <t>RT0402BRD0730K1L</t>
  </si>
  <si>
    <t>RC0402FR-071KL</t>
  </si>
  <si>
    <t>RC0805FR-070RL</t>
  </si>
  <si>
    <t>RC0402FR-075K1L</t>
  </si>
  <si>
    <t>RC0603FR-071ML</t>
  </si>
  <si>
    <t>RT0805BRD07316RL</t>
  </si>
  <si>
    <t>RC0805FR-071KL</t>
  </si>
  <si>
    <t>RC0201JR-070RL</t>
  </si>
  <si>
    <t>RC0603JR-070RL</t>
  </si>
  <si>
    <t>RC0201FR-0733RL</t>
  </si>
  <si>
    <t>RC0201FR-073K3L</t>
  </si>
  <si>
    <t>RC0402FR-0756KL</t>
  </si>
  <si>
    <t>RC0603FR-0722K1L</t>
  </si>
  <si>
    <t>RC0603FR-071RL</t>
  </si>
  <si>
    <t>RT0402BRD0718KL</t>
  </si>
  <si>
    <t>RT0402BRD0728KL</t>
  </si>
  <si>
    <t>RT0603BRD07510KL</t>
  </si>
  <si>
    <t>RT0603BRE07110KL</t>
  </si>
  <si>
    <t>RC0402FR-0730KL</t>
  </si>
  <si>
    <t>TPS79633DCQR</t>
  </si>
  <si>
    <t>MAX16054AZT+T</t>
  </si>
  <si>
    <t>TPS73601DBVR</t>
  </si>
  <si>
    <t>SLM6600</t>
  </si>
  <si>
    <t>CAT809RTBI-GT3</t>
  </si>
  <si>
    <t>ESP32-WROVER-E-N16R8</t>
  </si>
  <si>
    <t>ZL38063LDG1</t>
  </si>
  <si>
    <t>W25Q16JVSNIQ</t>
  </si>
  <si>
    <t>HT8691RSPER</t>
  </si>
  <si>
    <t>PCF8574APWR</t>
  </si>
  <si>
    <t>IS31FL3216A-QFLS3-TR</t>
  </si>
  <si>
    <t>2TJ412000XYGBC</t>
  </si>
  <si>
    <t>Manufacturer</t>
  </si>
  <si>
    <t>Yageo</t>
  </si>
  <si>
    <t>Samsung</t>
  </si>
  <si>
    <t>Kyocera AVX</t>
  </si>
  <si>
    <t>ROQANG</t>
  </si>
  <si>
    <t>UMW</t>
  </si>
  <si>
    <t>Diodes</t>
  </si>
  <si>
    <t>MDD</t>
  </si>
  <si>
    <t>LRC</t>
  </si>
  <si>
    <t>Murata</t>
  </si>
  <si>
    <t>XKB</t>
  </si>
  <si>
    <t>XUNPU</t>
  </si>
  <si>
    <t>BOOMELE</t>
  </si>
  <si>
    <t>XKB Connectivity</t>
  </si>
  <si>
    <t>Hirose</t>
  </si>
  <si>
    <t>YJYCOIN</t>
  </si>
  <si>
    <t>SXN</t>
  </si>
  <si>
    <t>Foshan NationStar Optoelectronics</t>
  </si>
  <si>
    <t>Infineon</t>
  </si>
  <si>
    <t>Jiangsu Changjing Electronics Technology</t>
  </si>
  <si>
    <t>FOJAN</t>
  </si>
  <si>
    <t>Texas Instruments</t>
  </si>
  <si>
    <t>Maxim</t>
  </si>
  <si>
    <t>SOLA-IC</t>
  </si>
  <si>
    <t>ON Semiconductor</t>
  </si>
  <si>
    <t>Espressif Systems</t>
  </si>
  <si>
    <t>Microchip</t>
  </si>
  <si>
    <t>Winbond</t>
  </si>
  <si>
    <t>Jiaxing Heroic Elec Tech</t>
  </si>
  <si>
    <t>STMicroelectronics</t>
  </si>
  <si>
    <t>ISSI</t>
  </si>
  <si>
    <t>JYJE</t>
  </si>
  <si>
    <t>LCSC Part Number</t>
  </si>
  <si>
    <t>C2936601</t>
  </si>
  <si>
    <t>C389113</t>
  </si>
  <si>
    <t>C398815</t>
  </si>
  <si>
    <t>C106204</t>
  </si>
  <si>
    <t>C109447</t>
  </si>
  <si>
    <t>C7230</t>
  </si>
  <si>
    <t>C107198</t>
  </si>
  <si>
    <t>C107040</t>
  </si>
  <si>
    <t>C326568</t>
  </si>
  <si>
    <t>C327068</t>
  </si>
  <si>
    <t>C2977552</t>
  </si>
  <si>
    <t>C309470</t>
  </si>
  <si>
    <t>C107048</t>
  </si>
  <si>
    <t>C62784</t>
  </si>
  <si>
    <t>C326836</t>
  </si>
  <si>
    <t>C5199850</t>
  </si>
  <si>
    <t>C82544</t>
  </si>
  <si>
    <t>C8678</t>
  </si>
  <si>
    <t>C172409</t>
  </si>
  <si>
    <t>C710390</t>
  </si>
  <si>
    <t>C710516</t>
  </si>
  <si>
    <t>C2764612</t>
  </si>
  <si>
    <t>C3029440</t>
  </si>
  <si>
    <t>C706874</t>
  </si>
  <si>
    <t>C388632</t>
  </si>
  <si>
    <t>C597972</t>
  </si>
  <si>
    <t>C437069</t>
  </si>
  <si>
    <t>C693870</t>
  </si>
  <si>
    <t>C2924828</t>
  </si>
  <si>
    <t>C3151730</t>
  </si>
  <si>
    <t>C87326</t>
  </si>
  <si>
    <t>C148144</t>
  </si>
  <si>
    <t>C164886</t>
  </si>
  <si>
    <t>C8490</t>
  </si>
  <si>
    <t>C60491</t>
  </si>
  <si>
    <t>C5204052</t>
  </si>
  <si>
    <t>C60490</t>
  </si>
  <si>
    <t>C106231</t>
  </si>
  <si>
    <t>C852832</t>
  </si>
  <si>
    <t>C852714</t>
  </si>
  <si>
    <t>C106235</t>
  </si>
  <si>
    <t>C105872</t>
  </si>
  <si>
    <t>C105578</t>
  </si>
  <si>
    <t>C95781</t>
  </si>
  <si>
    <t>C106228</t>
  </si>
  <si>
    <t>C95177</t>
  </si>
  <si>
    <t>C295794</t>
  </si>
  <si>
    <t>C274874</t>
  </si>
  <si>
    <t>C114756</t>
  </si>
  <si>
    <t>C137768</t>
  </si>
  <si>
    <t>C112305</t>
  </si>
  <si>
    <t>C852579</t>
  </si>
  <si>
    <t>C852686</t>
  </si>
  <si>
    <t>C861452</t>
  </si>
  <si>
    <t>C861631</t>
  </si>
  <si>
    <t>C381037</t>
  </si>
  <si>
    <t>C485803</t>
  </si>
  <si>
    <t>C79401</t>
  </si>
  <si>
    <t>C59200</t>
  </si>
  <si>
    <t>C130316</t>
  </si>
  <si>
    <t>C43445</t>
  </si>
  <si>
    <t>C529589</t>
  </si>
  <si>
    <t>C1535597</t>
  </si>
  <si>
    <t>C2456211</t>
  </si>
  <si>
    <t>C6705234</t>
  </si>
  <si>
    <t>C503097</t>
  </si>
  <si>
    <t>C94361</t>
  </si>
  <si>
    <t>C2678726</t>
  </si>
  <si>
    <t>C2149207</t>
  </si>
  <si>
    <t>10uF</t>
  </si>
  <si>
    <t>10nF</t>
  </si>
  <si>
    <t>22uF</t>
  </si>
  <si>
    <t>100nF</t>
  </si>
  <si>
    <t>100uF</t>
  </si>
  <si>
    <t>4.7nF</t>
  </si>
  <si>
    <t>18pF</t>
  </si>
  <si>
    <t>1uF</t>
  </si>
  <si>
    <t>39pF</t>
  </si>
  <si>
    <t>470uF</t>
  </si>
  <si>
    <t>1nF</t>
  </si>
  <si>
    <t>3.3nF</t>
  </si>
  <si>
    <t>330pF</t>
  </si>
  <si>
    <t>220nF</t>
  </si>
  <si>
    <t>4.7uH</t>
  </si>
  <si>
    <t>33uH</t>
  </si>
  <si>
    <t>100K</t>
  </si>
  <si>
    <t>0R</t>
  </si>
  <si>
    <t>10K</t>
  </si>
  <si>
    <t>52.3K</t>
  </si>
  <si>
    <t>30.1K</t>
  </si>
  <si>
    <t>1K</t>
  </si>
  <si>
    <t>5.1K</t>
  </si>
  <si>
    <t>1M</t>
  </si>
  <si>
    <t>316R</t>
  </si>
  <si>
    <t>33R</t>
  </si>
  <si>
    <t>3.3K</t>
  </si>
  <si>
    <t>56k</t>
  </si>
  <si>
    <t>22.1K</t>
  </si>
  <si>
    <t>DNP</t>
  </si>
  <si>
    <t>1R</t>
  </si>
  <si>
    <t>18K</t>
  </si>
  <si>
    <t>28K</t>
  </si>
  <si>
    <t>510K</t>
  </si>
  <si>
    <t>110K</t>
  </si>
  <si>
    <t>30K</t>
  </si>
  <si>
    <t>12MHz</t>
  </si>
  <si>
    <t>Quantity</t>
  </si>
  <si>
    <t>Alternate Part Number</t>
  </si>
  <si>
    <t>Value</t>
  </si>
  <si>
    <t>Quantity (5 Boards)</t>
  </si>
  <si>
    <t>MOQ (5 Boards)</t>
  </si>
  <si>
    <t>Links</t>
  </si>
  <si>
    <t>Unit Cost (5 Boards)</t>
  </si>
  <si>
    <t>Total Cost (5 Boards)</t>
  </si>
  <si>
    <t>Remarks</t>
  </si>
  <si>
    <t>Reviewer Remarks</t>
  </si>
  <si>
    <t>Bill of Materials for Project [Main-Board-v1.0.]</t>
  </si>
  <si>
    <t>Main-Board-v1.0.</t>
  </si>
  <si>
    <t>Custom</t>
  </si>
  <si>
    <t>C138008</t>
  </si>
  <si>
    <t>-</t>
  </si>
  <si>
    <t>LCSC</t>
  </si>
  <si>
    <t>C865398</t>
  </si>
  <si>
    <t>DO NOT Place</t>
  </si>
  <si>
    <t xml:space="preserve">  </t>
  </si>
  <si>
    <t>C17477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</si>
</sst>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7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theme="0"/>
      <name val="Calibri"/>
      <charset val="134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82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1" xfId="0" applyNumberFormat="1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8" fillId="2" borderId="2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0" xfId="0" applyFont="1" applyFill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20" fillId="3" borderId="20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  <xf numFmtId="0" fontId="21" fillId="4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center" vertical="center" wrapText="1"/>
    </xf>
    <xf numFmtId="0" fontId="23" fillId="2" borderId="16" xfId="1" applyFill="1" applyBorder="1" applyAlignment="1">
      <alignment horizontal="center" vertical="center" wrapText="1"/>
    </xf>
    <xf numFmtId="0" fontId="23" fillId="2" borderId="17" xfId="1" applyFill="1" applyBorder="1" applyAlignment="1">
      <alignment horizontal="center" vertical="center" wrapText="1"/>
    </xf>
    <xf numFmtId="0" fontId="23" fillId="0" borderId="0" xfId="1"/>
    <xf numFmtId="0" fontId="24" fillId="2" borderId="16" xfId="0" applyFont="1" applyFill="1" applyBorder="1" applyAlignment="1">
      <alignment horizontal="center" vertical="center" wrapText="1"/>
    </xf>
    <xf numFmtId="0" fontId="24" fillId="2" borderId="17" xfId="0" applyFont="1" applyFill="1" applyBorder="1" applyAlignment="1">
      <alignment horizontal="center" vertical="center" wrapText="1"/>
    </xf>
    <xf numFmtId="165" fontId="24" fillId="2" borderId="16" xfId="0" applyNumberFormat="1" applyFont="1" applyFill="1" applyBorder="1" applyAlignment="1">
      <alignment horizontal="center" vertical="center" wrapText="1"/>
    </xf>
    <xf numFmtId="0" fontId="24" fillId="2" borderId="22" xfId="0" applyFont="1" applyFill="1" applyBorder="1" applyAlignment="1">
      <alignment horizontal="center" vertical="center" wrapText="1"/>
    </xf>
    <xf numFmtId="0" fontId="25" fillId="2" borderId="16" xfId="0" applyFont="1" applyFill="1" applyBorder="1" applyAlignment="1">
      <alignment horizontal="center" vertical="center" wrapText="1"/>
    </xf>
    <xf numFmtId="165" fontId="25" fillId="2" borderId="16" xfId="0" applyNumberFormat="1" applyFont="1" applyFill="1" applyBorder="1" applyAlignment="1">
      <alignment horizontal="center" vertical="center" wrapText="1"/>
    </xf>
    <xf numFmtId="0" fontId="25" fillId="2" borderId="22" xfId="0" applyFont="1" applyFill="1" applyBorder="1" applyAlignment="1">
      <alignment horizontal="center" vertical="center" wrapText="1"/>
    </xf>
    <xf numFmtId="0" fontId="26" fillId="2" borderId="16" xfId="0" applyFont="1" applyFill="1" applyBorder="1" applyAlignment="1">
      <alignment horizontal="center" vertical="center" wrapText="1"/>
    </xf>
    <xf numFmtId="0" fontId="25" fillId="2" borderId="17" xfId="0" applyFont="1" applyFill="1" applyBorder="1" applyAlignment="1">
      <alignment horizontal="center" vertical="center" wrapText="1"/>
    </xf>
    <xf numFmtId="165" fontId="25" fillId="2" borderId="17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csc.com/product-detail/Audio-Connectors_XKB-Connectivity-PJ-342B-TX-SMT_C388632.html" TargetMode="External"/><Relationship Id="rId21" Type="http://schemas.openxmlformats.org/officeDocument/2006/relationships/hyperlink" Target="https://www.lcsc.com/product-detail/Ferrite-Beads_Murata-Electronics-BLM31KN121SZ1L_C710516.html" TargetMode="External"/><Relationship Id="rId42" Type="http://schemas.openxmlformats.org/officeDocument/2006/relationships/hyperlink" Target="https://www.lcsc.com/product-detail/Chip-Resistor-Surface-Mount_YAGEO-RC0402FR-071KL_C106235.html" TargetMode="External"/><Relationship Id="rId47" Type="http://schemas.openxmlformats.org/officeDocument/2006/relationships/hyperlink" Target="https://www.lcsc.com/product-detail/Chip-Resistor-Surface-Mount_YAGEO-RC0201JR-070RL_C106228.html" TargetMode="External"/><Relationship Id="rId63" Type="http://schemas.openxmlformats.org/officeDocument/2006/relationships/hyperlink" Target="https://www.lcsc.com/product-detail/Battery-Management-ICs_SOLA-IC-SLM6600_C130316.html" TargetMode="External"/><Relationship Id="rId68" Type="http://schemas.openxmlformats.org/officeDocument/2006/relationships/hyperlink" Target="https://www.lcsc.com/product-detail/Audio-Power-OpAmps_Jiaxing-Heroic-Elec-Tech-HT8691RSPER_C6705234.html" TargetMode="External"/><Relationship Id="rId2" Type="http://schemas.openxmlformats.org/officeDocument/2006/relationships/hyperlink" Target="https://www.lcsc.com/product-detail/Multilayer-Ceramic-Capacitors-MLCC-SMD-SMT_YAGEO-CC0603JRNPO9BN103_C389113.html" TargetMode="External"/><Relationship Id="rId16" Type="http://schemas.openxmlformats.org/officeDocument/2006/relationships/hyperlink" Target="https://www.lcsc.com/product-detail/ESD-Protection-Devices_UMW-Youtai-Semiconductor-Co-Ltd-LESD5D5-0CT1G_C5199850.html" TargetMode="External"/><Relationship Id="rId29" Type="http://schemas.openxmlformats.org/officeDocument/2006/relationships/hyperlink" Target="https://www.lcsc.com/product-detail/Power-Inductors_YJYCOIN-YSLF1045-4R7M_C693870.html" TargetMode="External"/><Relationship Id="rId11" Type="http://schemas.openxmlformats.org/officeDocument/2006/relationships/hyperlink" Target="https://www.lcsc.com/product-detail/Aluminum-Electrolytic-Capacitors-SMD_ROQANG-RVT1C471M0607_C2977552.html" TargetMode="External"/><Relationship Id="rId24" Type="http://schemas.openxmlformats.org/officeDocument/2006/relationships/hyperlink" Target="https://www.lcsc.com/product-detail/Wire-To-Board-Wire-To-Wire-Connector_BOOMELE-Boom-Precision-Elec-C145963_C145963.html" TargetMode="External"/><Relationship Id="rId32" Type="http://schemas.openxmlformats.org/officeDocument/2006/relationships/hyperlink" Target="https://www.lcsc.com/product-detail/Light-Emitting-Diodes-LED_Foshan-NationStar-Optoelectronics-NCD0603G2_C87326.html" TargetMode="External"/><Relationship Id="rId37" Type="http://schemas.openxmlformats.org/officeDocument/2006/relationships/hyperlink" Target="https://www.lcsc.com/product-detail/Chip-Resistor-Surface-Mount_FOJAN-FRP2512F0000TS_C5204052.html" TargetMode="External"/><Relationship Id="rId40" Type="http://schemas.openxmlformats.org/officeDocument/2006/relationships/hyperlink" Target="https://www.lcsc.com/product-detail/Chip-Resistor-Surface-Mount_YAGEO-RT0402BRD0752K3L_C852832.html" TargetMode="External"/><Relationship Id="rId45" Type="http://schemas.openxmlformats.org/officeDocument/2006/relationships/hyperlink" Target="https://www.lcsc.com/product-detail/Chip-Resistor-Surface-Mount_YAGEO-RT0805BRD07316RL_C865398.html" TargetMode="External"/><Relationship Id="rId53" Type="http://schemas.openxmlformats.org/officeDocument/2006/relationships/hyperlink" Target="https://www.lcsc.com/product-detail/Chip-Resistor-Surface-Mount_YAGEO-RC0603FR-071RL_C112305.html" TargetMode="External"/><Relationship Id="rId58" Type="http://schemas.openxmlformats.org/officeDocument/2006/relationships/hyperlink" Target="https://www.lcsc.com/product-detail/Chip-Resistor-Surface-Mount_YAGEO-RC0402FR-0730KL_C138008.html" TargetMode="External"/><Relationship Id="rId66" Type="http://schemas.openxmlformats.org/officeDocument/2006/relationships/hyperlink" Target="https://www.lcsc.com/product-detail/Audio-Interface-ICs_Microchip-Tech-ZL38063LDG1_C1535597.html" TargetMode="External"/><Relationship Id="rId74" Type="http://schemas.openxmlformats.org/officeDocument/2006/relationships/drawing" Target="../drawings/drawing1.xml"/><Relationship Id="rId5" Type="http://schemas.openxmlformats.org/officeDocument/2006/relationships/hyperlink" Target="https://www.lcsc.com/product-detail/Multilayer-Ceramic-Capacitors-MLCC-SMD-SMT_YAGEO-CC0603MRX5R6BB226_C109447.html" TargetMode="External"/><Relationship Id="rId61" Type="http://schemas.openxmlformats.org/officeDocument/2006/relationships/hyperlink" Target="https://www.lcsc.com/product-detail/Interface-Specialized_Analog-Devices-MAX16054AZT-T_C79401.html" TargetMode="External"/><Relationship Id="rId19" Type="http://schemas.openxmlformats.org/officeDocument/2006/relationships/hyperlink" Target="https://www.lcsc.com/product-detail/ESD-Protection-Devices_LRC-LESD8D3-3CAT5G_C172409.html" TargetMode="External"/><Relationship Id="rId14" Type="http://schemas.openxmlformats.org/officeDocument/2006/relationships/hyperlink" Target="https://www.lcsc.com/product-detail/Multilayer-Ceramic-Capacitors-MLCC-SMD-SMT_YAGEO-CC0603JRNPO9BN331_C62784.html" TargetMode="External"/><Relationship Id="rId22" Type="http://schemas.openxmlformats.org/officeDocument/2006/relationships/hyperlink" Target="https://www.lcsc.com/product-detail/USB-Connectors_XKB-Connectivity-U262-061N-4BVC11_C2764612.html" TargetMode="External"/><Relationship Id="rId27" Type="http://schemas.openxmlformats.org/officeDocument/2006/relationships/hyperlink" Target="https://www.lcsc.com/product-detail/SD-Card-Connectors_HRS-Hirose-DM3BT-DSF-PEJS_C597972.html" TargetMode="External"/><Relationship Id="rId30" Type="http://schemas.openxmlformats.org/officeDocument/2006/relationships/hyperlink" Target="https://www.lcsc.com/product-detail/Power-Inductors_SXN-Shun-Xiang-Nuo-Elec-SMDRI129-330MT_C2924828.html" TargetMode="External"/><Relationship Id="rId35" Type="http://schemas.openxmlformats.org/officeDocument/2006/relationships/hyperlink" Target="https://www.lcsc.com/product-detail/MOSFETs_LRC-LBSS138LT1G_C8490.html" TargetMode="External"/><Relationship Id="rId43" Type="http://schemas.openxmlformats.org/officeDocument/2006/relationships/hyperlink" Target="https://www.lcsc.com/product-detail/Chip-Resistor-Surface-Mount_YAGEO-RC0402FR-075K1L_C105872.html" TargetMode="External"/><Relationship Id="rId48" Type="http://schemas.openxmlformats.org/officeDocument/2006/relationships/hyperlink" Target="https://www.lcsc.com/product-detail/Chip-Resistor-Surface-Mount_YAGEO-RC0603JR-070RL_C95177.html" TargetMode="External"/><Relationship Id="rId56" Type="http://schemas.openxmlformats.org/officeDocument/2006/relationships/hyperlink" Target="https://www.lcsc.com/product-detail/Chip-Resistor-Surface-Mount_YAGEO-RT0603BRD07510KL_C861452.html" TargetMode="External"/><Relationship Id="rId64" Type="http://schemas.openxmlformats.org/officeDocument/2006/relationships/hyperlink" Target="https://www.lcsc.com/product-detail/Monitors-Reset-Circuits_onsemi-CAT809RTBI-GT3_C43445.html" TargetMode="External"/><Relationship Id="rId69" Type="http://schemas.openxmlformats.org/officeDocument/2006/relationships/hyperlink" Target="https://www.lcsc.com/product-detail/MEMS-Microphones_STMicroelectronics-MP34DT06JTR_C503097.html" TargetMode="External"/><Relationship Id="rId8" Type="http://schemas.openxmlformats.org/officeDocument/2006/relationships/hyperlink" Target="https://www.lcsc.com/product-detail/Multilayer-Ceramic-Capacitors-MLCC-SMD-SMT_YAGEO-CC0603JRNPO9BN180_C107040.html" TargetMode="External"/><Relationship Id="rId51" Type="http://schemas.openxmlformats.org/officeDocument/2006/relationships/hyperlink" Target="https://www.lcsc.com/product-detail/Chip-Resistor-Surface-Mount_YAGEO-RC0402FR-0756KL_C114756.html" TargetMode="External"/><Relationship Id="rId72" Type="http://schemas.openxmlformats.org/officeDocument/2006/relationships/hyperlink" Target="https://www.lcsc.com/product-detail/Chip-Resistor-Surface-Mount_UNI-ROYAL-Uniroyal-Elec-0805W8F0000T5E_C17477.html" TargetMode="External"/><Relationship Id="rId3" Type="http://schemas.openxmlformats.org/officeDocument/2006/relationships/hyperlink" Target="https://www.lcsc.com/product-detail/Multilayer-Ceramic-Capacitors-MLCC-SMD-SMT_Samsung-Electro-Mechanics-CL21A226MOCLRNC_C398815.html" TargetMode="External"/><Relationship Id="rId12" Type="http://schemas.openxmlformats.org/officeDocument/2006/relationships/hyperlink" Target="https://www.lcsc.com/product-detail/Multilayer-Ceramic-Capacitors-MLCC-SMD-SMT_YAGEO-CC0603JRNPO8BN102_C309470.html" TargetMode="External"/><Relationship Id="rId17" Type="http://schemas.openxmlformats.org/officeDocument/2006/relationships/hyperlink" Target="https://www.lcsc.com/product-detail/Schottky-Barrier-Diodes-SBD_Diodes-Incorporated-1N5819HW-7-F_C82544.html" TargetMode="External"/><Relationship Id="rId25" Type="http://schemas.openxmlformats.org/officeDocument/2006/relationships/hyperlink" Target="https://www.lcsc.com/product-detail/Pin-Headers_XKB-Connectivity-X6511WV-02H-C60D30_C706874.html" TargetMode="External"/><Relationship Id="rId33" Type="http://schemas.openxmlformats.org/officeDocument/2006/relationships/hyperlink" Target="https://www.lcsc.com/product-detail/MOSFETs_Infineon-Technologies-IRF7410TRPBF_C148144.html" TargetMode="External"/><Relationship Id="rId38" Type="http://schemas.openxmlformats.org/officeDocument/2006/relationships/hyperlink" Target="https://www.lcsc.com/product-detail/Chip-Resistor-Surface-Mount_YAGEO-RC0402FR-0710KL_C60490.html" TargetMode="External"/><Relationship Id="rId46" Type="http://schemas.openxmlformats.org/officeDocument/2006/relationships/hyperlink" Target="https://www.lcsc.com/product-detail/Chip-Resistor-Surface-Mount_YAGEO-RC0805FR-071KL_C95781.html" TargetMode="External"/><Relationship Id="rId59" Type="http://schemas.openxmlformats.org/officeDocument/2006/relationships/hyperlink" Target="https://www.lcsc.com/product-detail/Tactile-Switches_XKB-Connectivity-TS-1109S-C-B_C381037.html" TargetMode="External"/><Relationship Id="rId67" Type="http://schemas.openxmlformats.org/officeDocument/2006/relationships/hyperlink" Target="https://www.lcsc.com/product-detail/NOR-FLASH_Winbond-Elec-W25Q16JVSNIQ_C2456211.html" TargetMode="External"/><Relationship Id="rId20" Type="http://schemas.openxmlformats.org/officeDocument/2006/relationships/hyperlink" Target="https://www.lcsc.com/product-detail/Ferrite-Beads_Murata-Electronics-BLM18SG121TZ1D_C710390.html" TargetMode="External"/><Relationship Id="rId41" Type="http://schemas.openxmlformats.org/officeDocument/2006/relationships/hyperlink" Target="https://www.lcsc.com/product-detail/Chip-Resistor-Surface-Mount_YAGEO-RT0402BRD0730K1L_C852714.html" TargetMode="External"/><Relationship Id="rId54" Type="http://schemas.openxmlformats.org/officeDocument/2006/relationships/hyperlink" Target="https://www.lcsc.com/product-detail/Chip-Resistor-Surface-Mount_YAGEO-RT0402BRD0718KL_C852579.html" TargetMode="External"/><Relationship Id="rId62" Type="http://schemas.openxmlformats.org/officeDocument/2006/relationships/hyperlink" Target="https://www.lcsc.com/product-detail/Linear-Voltage-Regulators-LDO_Texas-Instruments-TPS73601DBVR_C59200.html" TargetMode="External"/><Relationship Id="rId70" Type="http://schemas.openxmlformats.org/officeDocument/2006/relationships/hyperlink" Target="https://www.lcsc.com/product-detail/I-O-Expanders_Texas-Instruments-PCF8574APWR_C94361.html" TargetMode="External"/><Relationship Id="rId1" Type="http://schemas.openxmlformats.org/officeDocument/2006/relationships/hyperlink" Target="https://www.lcsc.com/product-detail/Multilayer-Ceramic-Capacitors-MLCC-SMD-SMT_YAGEO-CC0603KRX5R7BB106_C2936601.html" TargetMode="External"/><Relationship Id="rId6" Type="http://schemas.openxmlformats.org/officeDocument/2006/relationships/hyperlink" Target="https://www.lcsc.com/product-detail/Tantalum-Capacitors_Kyocera-AVX-TAJE107M025RNJ_C7230.html" TargetMode="External"/><Relationship Id="rId15" Type="http://schemas.openxmlformats.org/officeDocument/2006/relationships/hyperlink" Target="https://www.lcsc.com/product-detail/Multilayer-Ceramic-Capacitors-MLCC-SMD-SMT_YAGEO-CC0402KRX5R8BB224_C326836.html" TargetMode="External"/><Relationship Id="rId23" Type="http://schemas.openxmlformats.org/officeDocument/2006/relationships/hyperlink" Target="https://www.lcsc.com/product-detail/Wire-To-Board-Wire-To-Wire-Connector_XUNPU-WAFER-PH2-0-2PWB_C3029440.html" TargetMode="External"/><Relationship Id="rId28" Type="http://schemas.openxmlformats.org/officeDocument/2006/relationships/hyperlink" Target="https://www.lcsc.com/product-detail/Wire-To-Board-Wire-To-Wire-Connector_XKB-Connectivity-X1002WRS-09E-LPSWHF_C437069.html" TargetMode="External"/><Relationship Id="rId36" Type="http://schemas.openxmlformats.org/officeDocument/2006/relationships/hyperlink" Target="https://www.lcsc.com/product-detail/Chip-Resistor-Surface-Mount_YAGEO-RC0402FR-07100KL_C60491.html" TargetMode="External"/><Relationship Id="rId49" Type="http://schemas.openxmlformats.org/officeDocument/2006/relationships/hyperlink" Target="https://www.lcsc.com/product-detail/Chip-Resistor-Surface-Mount_YAGEO-RC0201FR-0733RL_C295794.html" TargetMode="External"/><Relationship Id="rId57" Type="http://schemas.openxmlformats.org/officeDocument/2006/relationships/hyperlink" Target="https://www.lcsc.com/product-detail/Chip-Resistor-Surface-Mount_YAGEO-RT0603BRE07110KL_C861631.html" TargetMode="External"/><Relationship Id="rId10" Type="http://schemas.openxmlformats.org/officeDocument/2006/relationships/hyperlink" Target="https://www.lcsc.com/product-detail/Multilayer-Ceramic-Capacitors-MLCC-SMD-SMT_YAGEO-CC0402FRNPO9BN390_C327068.html" TargetMode="External"/><Relationship Id="rId31" Type="http://schemas.openxmlformats.org/officeDocument/2006/relationships/hyperlink" Target="https://www.lcsc.com/product-detail/Light-Emitting-Diodes-LED_Foshan-NationStar-Optoelectronics-NCD0603R3_C3151730.html" TargetMode="External"/><Relationship Id="rId44" Type="http://schemas.openxmlformats.org/officeDocument/2006/relationships/hyperlink" Target="https://www.lcsc.com/product-detail/Chip-Resistor-Surface-Mount_YAGEO-RC0603FR-071ML_C105578.html" TargetMode="External"/><Relationship Id="rId52" Type="http://schemas.openxmlformats.org/officeDocument/2006/relationships/hyperlink" Target="https://www.lcsc.com/product-detail/Chip-Resistor-Surface-Mount_YAGEO-RC0603FR-0722K1L_C137768.html" TargetMode="External"/><Relationship Id="rId60" Type="http://schemas.openxmlformats.org/officeDocument/2006/relationships/hyperlink" Target="https://www.lcsc.com/product-detail/Linear-Voltage-Regulators-LDO_Texas-Instruments-TPS79633DCQR_C485803.html" TargetMode="External"/><Relationship Id="rId65" Type="http://schemas.openxmlformats.org/officeDocument/2006/relationships/hyperlink" Target="https://www.lcsc.com/product-detail/WiFi-Modules_Espressif-Systems-ESP32-WROVER-E-N16R8_C529589.html" TargetMode="External"/><Relationship Id="rId73" Type="http://schemas.openxmlformats.org/officeDocument/2006/relationships/printerSettings" Target="../printerSettings/printerSettings1.bin"/><Relationship Id="rId4" Type="http://schemas.openxmlformats.org/officeDocument/2006/relationships/hyperlink" Target="https://www.lcsc.com/product-detail/Multilayer-Ceramic-Capacitors-MLCC-SMD-SMT_YAGEO-CC0402KRX5R7BB104_C106204.html" TargetMode="External"/><Relationship Id="rId9" Type="http://schemas.openxmlformats.org/officeDocument/2006/relationships/hyperlink" Target="https://www.lcsc.com/product-detail/Multilayer-Ceramic-Capacitors-MLCC-SMD-SMT_YAGEO-CC0402KRX5R8BB105_C326568.html" TargetMode="External"/><Relationship Id="rId13" Type="http://schemas.openxmlformats.org/officeDocument/2006/relationships/hyperlink" Target="https://www.lcsc.com/product-detail/Multilayer-Ceramic-Capacitors-MLCC-SMD-SMT_YAGEO-CC0603JRNPO9BN332_C107048.html" TargetMode="External"/><Relationship Id="rId18" Type="http://schemas.openxmlformats.org/officeDocument/2006/relationships/hyperlink" Target="https://www.lcsc.com/product-detail/Schottky-Barrier-Diodes-SBD_MDD-Microdiode-Electronics-SS34_C8678.html" TargetMode="External"/><Relationship Id="rId39" Type="http://schemas.openxmlformats.org/officeDocument/2006/relationships/hyperlink" Target="https://www.lcsc.com/product-detail/Chip-Resistor-Surface-Mount_YAGEO-RC0402FR-070RL_C106231.html" TargetMode="External"/><Relationship Id="rId34" Type="http://schemas.openxmlformats.org/officeDocument/2006/relationships/hyperlink" Target="https://www.lcsc.com/product-detail/Bipolar-Transistors-BJT_Jiangsu-Changjing-Electronics-Technology-Co-Ltd-SS8050-G_C164886.html" TargetMode="External"/><Relationship Id="rId50" Type="http://schemas.openxmlformats.org/officeDocument/2006/relationships/hyperlink" Target="https://www.lcsc.com/product-detail/Chip-Resistor-Surface-Mount_YAGEO-RC0201FR-073K3L_C274874.html" TargetMode="External"/><Relationship Id="rId55" Type="http://schemas.openxmlformats.org/officeDocument/2006/relationships/hyperlink" Target="https://www.lcsc.com/product-detail/Chip-Resistor-Surface-Mount_YAGEO-RT0402BRD0728KL_C852686.html" TargetMode="External"/><Relationship Id="rId7" Type="http://schemas.openxmlformats.org/officeDocument/2006/relationships/hyperlink" Target="https://www.lcsc.com/product-detail/Multilayer-Ceramic-Capacitors-MLCC-SMD-SMT_YAGEO-CC1206KKX7RCBB472_C107198.html" TargetMode="External"/><Relationship Id="rId71" Type="http://schemas.openxmlformats.org/officeDocument/2006/relationships/hyperlink" Target="https://www.lcsc.com/product-detail/Crystals_JYJE-2TJ412000XYGBC_C214920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87"/>
  <sheetViews>
    <sheetView tabSelected="1" topLeftCell="A7" workbookViewId="0">
      <selection activeCell="G91" sqref="G91"/>
    </sheetView>
  </sheetViews>
  <sheetFormatPr defaultRowHeight="1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25.285156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5.42578125" bestFit="1" customWidth="1"/>
    <col min="16" max="16" width="18.7109375" bestFit="1" customWidth="1"/>
    <col min="17" max="17" width="19.28515625" bestFit="1" customWidth="1"/>
    <col min="18" max="18" width="16.5703125" bestFit="1" customWidth="1"/>
    <col min="19" max="19" width="26.85546875" bestFit="1" customWidth="1"/>
  </cols>
  <sheetData>
    <row r="1" spans="1:19" ht="15.75" thickBot="1">
      <c r="A1" s="1"/>
      <c r="B1" s="20"/>
      <c r="C1" s="20"/>
      <c r="D1" s="2"/>
      <c r="E1" s="2"/>
      <c r="F1" s="2"/>
      <c r="G1" s="2"/>
      <c r="H1" s="2"/>
      <c r="I1" s="2"/>
      <c r="J1" s="2"/>
      <c r="K1" s="56"/>
      <c r="L1" s="56"/>
      <c r="M1" s="56"/>
      <c r="N1" s="56"/>
      <c r="O1" s="56"/>
      <c r="P1" s="56"/>
      <c r="Q1" s="56"/>
      <c r="R1" s="56"/>
      <c r="S1" s="57"/>
    </row>
    <row r="2" spans="1:19" ht="32.25" thickBot="1">
      <c r="A2" s="1"/>
      <c r="B2" s="21"/>
      <c r="C2" s="30"/>
      <c r="D2" s="11" t="s">
        <v>0</v>
      </c>
      <c r="E2" s="11"/>
      <c r="F2" s="52" t="s">
        <v>436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>
      <c r="A3" s="1"/>
      <c r="B3" s="22"/>
      <c r="C3" s="31"/>
      <c r="D3" s="13" t="s">
        <v>1</v>
      </c>
      <c r="E3" s="13"/>
      <c r="F3" s="53" t="s">
        <v>437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58"/>
    </row>
    <row r="4" spans="1:19">
      <c r="A4" s="1"/>
      <c r="B4" s="22"/>
      <c r="C4" s="31"/>
      <c r="D4" s="13" t="s">
        <v>2</v>
      </c>
      <c r="E4" s="13"/>
      <c r="F4" s="53" t="s">
        <v>437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59"/>
    </row>
    <row r="5" spans="1:19">
      <c r="A5" s="1"/>
      <c r="B5" s="22"/>
      <c r="C5" s="31"/>
      <c r="D5" s="13" t="s">
        <v>3</v>
      </c>
      <c r="E5" s="13"/>
      <c r="F5" s="54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59"/>
    </row>
    <row r="6" spans="1:19">
      <c r="A6" s="1"/>
      <c r="B6" s="23"/>
      <c r="C6" s="32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59"/>
    </row>
    <row r="7" spans="1:19">
      <c r="A7" s="1"/>
      <c r="B7" s="24"/>
      <c r="C7" s="33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59"/>
    </row>
    <row r="8" spans="1:19" ht="15.75" thickBot="1">
      <c r="A8" s="1"/>
      <c r="B8" s="27"/>
      <c r="C8" s="34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59"/>
    </row>
    <row r="9" spans="1:19" ht="15.75" thickBot="1">
      <c r="A9" s="1"/>
      <c r="B9" s="66" t="s">
        <v>4</v>
      </c>
      <c r="C9" s="66" t="s">
        <v>8</v>
      </c>
      <c r="D9" s="66" t="s">
        <v>29</v>
      </c>
      <c r="E9" s="66" t="s">
        <v>105</v>
      </c>
      <c r="F9" s="66" t="s">
        <v>181</v>
      </c>
      <c r="G9" s="66" t="s">
        <v>222</v>
      </c>
      <c r="H9" s="66" t="s">
        <v>287</v>
      </c>
      <c r="I9" s="66" t="s">
        <v>427</v>
      </c>
      <c r="J9" s="66" t="s">
        <v>319</v>
      </c>
      <c r="K9" s="66" t="s">
        <v>428</v>
      </c>
      <c r="L9" s="66" t="s">
        <v>426</v>
      </c>
      <c r="M9" s="66" t="s">
        <v>429</v>
      </c>
      <c r="N9" s="66" t="s">
        <v>430</v>
      </c>
      <c r="O9" s="66" t="s">
        <v>431</v>
      </c>
      <c r="P9" s="66" t="s">
        <v>432</v>
      </c>
      <c r="Q9" s="66" t="s">
        <v>433</v>
      </c>
      <c r="R9" s="66" t="s">
        <v>434</v>
      </c>
      <c r="S9" s="66" t="s">
        <v>435</v>
      </c>
    </row>
    <row r="10" spans="1:19" ht="24">
      <c r="A10" s="1"/>
      <c r="B10" s="45">
        <f>ROW(B10) - ROW($B$9)</f>
        <v>1</v>
      </c>
      <c r="C10" s="67" t="s">
        <v>9</v>
      </c>
      <c r="D10" s="36" t="s">
        <v>30</v>
      </c>
      <c r="E10" s="36" t="s">
        <v>106</v>
      </c>
      <c r="F10" s="36" t="s">
        <v>182</v>
      </c>
      <c r="G10" s="36" t="s">
        <v>223</v>
      </c>
      <c r="H10" s="36" t="s">
        <v>288</v>
      </c>
      <c r="I10" s="36" t="s">
        <v>440</v>
      </c>
      <c r="J10" s="36" t="s">
        <v>320</v>
      </c>
      <c r="K10" s="36" t="s">
        <v>389</v>
      </c>
      <c r="L10" s="36">
        <v>15</v>
      </c>
      <c r="M10" s="36">
        <f>L10*5</f>
        <v>75</v>
      </c>
      <c r="N10" s="36">
        <v>80</v>
      </c>
      <c r="O10" s="69" t="s">
        <v>441</v>
      </c>
      <c r="P10" s="37">
        <v>0.1137</v>
      </c>
      <c r="Q10" s="37">
        <f>P10*N10</f>
        <v>9.0960000000000001</v>
      </c>
      <c r="R10" s="36"/>
      <c r="S10" s="49"/>
    </row>
    <row r="11" spans="1:19">
      <c r="A11" s="1"/>
      <c r="B11" s="46">
        <f t="shared" ref="B11:B85" si="0">ROW(B11) - ROW($B$9)</f>
        <v>2</v>
      </c>
      <c r="C11" s="68" t="s">
        <v>9</v>
      </c>
      <c r="D11" s="50" t="s">
        <v>31</v>
      </c>
      <c r="E11" s="50" t="s">
        <v>107</v>
      </c>
      <c r="F11" s="50" t="s">
        <v>182</v>
      </c>
      <c r="G11" s="50" t="s">
        <v>224</v>
      </c>
      <c r="H11" s="50" t="s">
        <v>288</v>
      </c>
      <c r="I11" s="50" t="s">
        <v>440</v>
      </c>
      <c r="J11" s="50" t="s">
        <v>321</v>
      </c>
      <c r="K11" s="50" t="s">
        <v>390</v>
      </c>
      <c r="L11" s="50">
        <v>1</v>
      </c>
      <c r="M11" s="50">
        <f t="shared" ref="M11" si="1">L11*5</f>
        <v>5</v>
      </c>
      <c r="N11" s="50">
        <v>50</v>
      </c>
      <c r="O11" s="70" t="s">
        <v>441</v>
      </c>
      <c r="P11" s="51">
        <v>1.46E-2</v>
      </c>
      <c r="Q11" s="51">
        <f t="shared" ref="Q11" si="2">P11*N11</f>
        <v>0.73</v>
      </c>
      <c r="R11" s="50"/>
      <c r="S11" s="50"/>
    </row>
    <row r="12" spans="1:19">
      <c r="A12" s="1"/>
      <c r="B12" s="45">
        <f>ROW(B12) - ROW($B$9)</f>
        <v>3</v>
      </c>
      <c r="C12" s="67" t="s">
        <v>9</v>
      </c>
      <c r="D12" s="36" t="s">
        <v>32</v>
      </c>
      <c r="E12" s="36" t="s">
        <v>108</v>
      </c>
      <c r="F12" s="36" t="s">
        <v>183</v>
      </c>
      <c r="G12" s="36" t="s">
        <v>225</v>
      </c>
      <c r="H12" s="36" t="s">
        <v>289</v>
      </c>
      <c r="I12" s="36" t="s">
        <v>440</v>
      </c>
      <c r="J12" s="36" t="s">
        <v>322</v>
      </c>
      <c r="K12" s="36" t="s">
        <v>391</v>
      </c>
      <c r="L12" s="36">
        <v>5</v>
      </c>
      <c r="M12" s="36">
        <f>L12*5</f>
        <v>25</v>
      </c>
      <c r="N12" s="36">
        <v>30</v>
      </c>
      <c r="O12" s="69" t="s">
        <v>441</v>
      </c>
      <c r="P12" s="37">
        <v>5.8500000000000003E-2</v>
      </c>
      <c r="Q12" s="37">
        <f>P12*N12</f>
        <v>1.7550000000000001</v>
      </c>
      <c r="R12" s="36"/>
      <c r="S12" s="55"/>
    </row>
    <row r="13" spans="1:19">
      <c r="A13" s="1"/>
      <c r="B13" s="46">
        <f t="shared" si="0"/>
        <v>4</v>
      </c>
      <c r="C13" s="67" t="s">
        <v>9</v>
      </c>
      <c r="D13" s="50" t="s">
        <v>444</v>
      </c>
      <c r="E13" s="50" t="s">
        <v>109</v>
      </c>
      <c r="F13" s="50" t="s">
        <v>184</v>
      </c>
      <c r="G13" s="50" t="s">
        <v>226</v>
      </c>
      <c r="H13" s="50" t="s">
        <v>288</v>
      </c>
      <c r="I13" s="50" t="s">
        <v>440</v>
      </c>
      <c r="J13" s="50" t="s">
        <v>323</v>
      </c>
      <c r="K13" s="50" t="s">
        <v>392</v>
      </c>
      <c r="L13" s="50">
        <v>39</v>
      </c>
      <c r="M13" s="50">
        <f t="shared" ref="M13" si="3">L13*5</f>
        <v>195</v>
      </c>
      <c r="N13" s="50">
        <v>200</v>
      </c>
      <c r="O13" s="70" t="s">
        <v>441</v>
      </c>
      <c r="P13" s="51">
        <v>1.1000000000000001E-3</v>
      </c>
      <c r="Q13" s="51">
        <f t="shared" ref="Q13" si="4">P13*N13</f>
        <v>0.22</v>
      </c>
      <c r="R13" s="50"/>
      <c r="S13" s="55"/>
    </row>
    <row r="14" spans="1:19">
      <c r="A14" s="1"/>
      <c r="B14" s="45">
        <f>ROW(B14) - ROW($B$9)</f>
        <v>5</v>
      </c>
      <c r="C14" s="67" t="s">
        <v>9</v>
      </c>
      <c r="D14" s="36" t="s">
        <v>33</v>
      </c>
      <c r="E14" s="36" t="s">
        <v>110</v>
      </c>
      <c r="F14" s="36" t="s">
        <v>182</v>
      </c>
      <c r="G14" s="36" t="s">
        <v>227</v>
      </c>
      <c r="H14" s="36" t="s">
        <v>288</v>
      </c>
      <c r="I14" s="36" t="s">
        <v>440</v>
      </c>
      <c r="J14" s="36" t="s">
        <v>324</v>
      </c>
      <c r="K14" s="36" t="s">
        <v>391</v>
      </c>
      <c r="L14" s="36">
        <v>1</v>
      </c>
      <c r="M14" s="36">
        <f>L14*5</f>
        <v>5</v>
      </c>
      <c r="N14" s="36">
        <v>20</v>
      </c>
      <c r="O14" s="71" t="s">
        <v>441</v>
      </c>
      <c r="P14" s="37">
        <v>3.39E-2</v>
      </c>
      <c r="Q14" s="37">
        <f>P14*N14</f>
        <v>0.67799999999999994</v>
      </c>
      <c r="R14" s="36"/>
      <c r="S14" s="55"/>
    </row>
    <row r="15" spans="1:19">
      <c r="A15" s="1"/>
      <c r="B15" s="46">
        <f t="shared" si="0"/>
        <v>6</v>
      </c>
      <c r="C15" s="67" t="s">
        <v>9</v>
      </c>
      <c r="D15" s="50" t="s">
        <v>34</v>
      </c>
      <c r="E15" s="50" t="s">
        <v>111</v>
      </c>
      <c r="F15" s="50" t="s">
        <v>185</v>
      </c>
      <c r="G15" s="50" t="s">
        <v>228</v>
      </c>
      <c r="H15" s="50" t="s">
        <v>290</v>
      </c>
      <c r="I15" s="50" t="s">
        <v>440</v>
      </c>
      <c r="J15" s="50" t="s">
        <v>325</v>
      </c>
      <c r="K15" s="50" t="s">
        <v>393</v>
      </c>
      <c r="L15" s="50">
        <v>2</v>
      </c>
      <c r="M15" s="50">
        <f t="shared" ref="M15" si="5">L15*5</f>
        <v>10</v>
      </c>
      <c r="N15" s="50">
        <v>11</v>
      </c>
      <c r="O15" s="70" t="s">
        <v>441</v>
      </c>
      <c r="P15" s="51">
        <v>0.9244</v>
      </c>
      <c r="Q15" s="51">
        <f t="shared" ref="Q15" si="6">P15*N15</f>
        <v>10.1684</v>
      </c>
      <c r="R15" s="50"/>
      <c r="S15" s="55"/>
    </row>
    <row r="16" spans="1:19">
      <c r="A16" s="1"/>
      <c r="B16" s="45">
        <f>ROW(B16) - ROW($B$9)</f>
        <v>7</v>
      </c>
      <c r="C16" s="67" t="s">
        <v>9</v>
      </c>
      <c r="D16" s="36" t="s">
        <v>35</v>
      </c>
      <c r="E16" s="36" t="s">
        <v>112</v>
      </c>
      <c r="F16" s="36" t="s">
        <v>186</v>
      </c>
      <c r="G16" s="36" t="s">
        <v>229</v>
      </c>
      <c r="H16" s="36" t="s">
        <v>288</v>
      </c>
      <c r="I16" s="36" t="s">
        <v>440</v>
      </c>
      <c r="J16" s="36" t="s">
        <v>326</v>
      </c>
      <c r="K16" s="36" t="s">
        <v>394</v>
      </c>
      <c r="L16" s="36">
        <v>1</v>
      </c>
      <c r="M16" s="36">
        <f>L16*5</f>
        <v>5</v>
      </c>
      <c r="N16" s="36">
        <v>50</v>
      </c>
      <c r="O16" s="69" t="s">
        <v>441</v>
      </c>
      <c r="P16" s="37">
        <v>1.72E-2</v>
      </c>
      <c r="Q16" s="37">
        <f>P16*N16</f>
        <v>0.86</v>
      </c>
      <c r="R16" s="36"/>
      <c r="S16" s="55"/>
    </row>
    <row r="17" spans="1:19">
      <c r="A17" s="1"/>
      <c r="B17" s="46">
        <f t="shared" si="0"/>
        <v>8</v>
      </c>
      <c r="C17" s="67" t="s">
        <v>9</v>
      </c>
      <c r="D17" s="50" t="s">
        <v>36</v>
      </c>
      <c r="E17" s="50" t="s">
        <v>113</v>
      </c>
      <c r="F17" s="50" t="s">
        <v>182</v>
      </c>
      <c r="G17" s="50" t="s">
        <v>230</v>
      </c>
      <c r="H17" s="50" t="s">
        <v>288</v>
      </c>
      <c r="I17" s="50" t="s">
        <v>440</v>
      </c>
      <c r="J17" s="50" t="s">
        <v>327</v>
      </c>
      <c r="K17" s="50" t="s">
        <v>395</v>
      </c>
      <c r="L17" s="50">
        <v>2</v>
      </c>
      <c r="M17" s="50">
        <f t="shared" ref="M17" si="7">L17*5</f>
        <v>10</v>
      </c>
      <c r="N17" s="50">
        <v>100</v>
      </c>
      <c r="O17" s="70" t="s">
        <v>441</v>
      </c>
      <c r="P17" s="51">
        <v>2.8E-3</v>
      </c>
      <c r="Q17" s="51">
        <f t="shared" ref="Q17" si="8">P17*N17</f>
        <v>0.27999999999999997</v>
      </c>
      <c r="R17" s="50"/>
      <c r="S17" s="55"/>
    </row>
    <row r="18" spans="1:19" ht="24">
      <c r="A18" s="1"/>
      <c r="B18" s="45">
        <f>ROW(B18) - ROW($B$9)</f>
        <v>9</v>
      </c>
      <c r="C18" s="67" t="s">
        <v>9</v>
      </c>
      <c r="D18" s="36" t="s">
        <v>37</v>
      </c>
      <c r="E18" s="36" t="s">
        <v>114</v>
      </c>
      <c r="F18" s="36" t="s">
        <v>184</v>
      </c>
      <c r="G18" s="36" t="s">
        <v>231</v>
      </c>
      <c r="H18" s="36" t="s">
        <v>288</v>
      </c>
      <c r="I18" s="36" t="s">
        <v>440</v>
      </c>
      <c r="J18" s="36" t="s">
        <v>328</v>
      </c>
      <c r="K18" s="36" t="s">
        <v>396</v>
      </c>
      <c r="L18" s="36">
        <v>13</v>
      </c>
      <c r="M18" s="36">
        <f>L18*5</f>
        <v>65</v>
      </c>
      <c r="N18" s="36">
        <v>100</v>
      </c>
      <c r="O18" s="69" t="s">
        <v>441</v>
      </c>
      <c r="P18" s="37">
        <v>7.9000000000000008E-3</v>
      </c>
      <c r="Q18" s="37">
        <f>P18*N18</f>
        <v>0.79</v>
      </c>
      <c r="R18" s="36"/>
      <c r="S18" s="55"/>
    </row>
    <row r="19" spans="1:19">
      <c r="A19" s="1"/>
      <c r="B19" s="46">
        <f t="shared" si="0"/>
        <v>10</v>
      </c>
      <c r="C19" s="68" t="s">
        <v>9</v>
      </c>
      <c r="D19" s="50" t="s">
        <v>38</v>
      </c>
      <c r="E19" s="50" t="s">
        <v>115</v>
      </c>
      <c r="F19" s="50" t="s">
        <v>184</v>
      </c>
      <c r="G19" s="50" t="s">
        <v>232</v>
      </c>
      <c r="H19" s="50" t="s">
        <v>288</v>
      </c>
      <c r="I19" s="50"/>
      <c r="J19" s="50" t="s">
        <v>329</v>
      </c>
      <c r="K19" s="50" t="s">
        <v>397</v>
      </c>
      <c r="L19" s="50">
        <v>4</v>
      </c>
      <c r="M19" s="50">
        <f t="shared" ref="M19" si="9">L19*5</f>
        <v>20</v>
      </c>
      <c r="N19" s="50">
        <v>100</v>
      </c>
      <c r="O19" s="69" t="s">
        <v>441</v>
      </c>
      <c r="P19" s="51">
        <v>3.0999999999999999E-3</v>
      </c>
      <c r="Q19" s="51">
        <f t="shared" ref="Q19" si="10">P19*N19</f>
        <v>0.31</v>
      </c>
      <c r="R19" s="50"/>
      <c r="S19" s="55"/>
    </row>
    <row r="20" spans="1:19" ht="36">
      <c r="A20" s="1"/>
      <c r="B20" s="45">
        <f>ROW(B20) - ROW($B$9)</f>
        <v>11</v>
      </c>
      <c r="C20" s="67" t="s">
        <v>9</v>
      </c>
      <c r="D20" s="36" t="s">
        <v>39</v>
      </c>
      <c r="E20" s="36" t="s">
        <v>116</v>
      </c>
      <c r="F20" s="36" t="s">
        <v>438</v>
      </c>
      <c r="G20" s="36" t="s">
        <v>187</v>
      </c>
      <c r="H20" s="36" t="s">
        <v>291</v>
      </c>
      <c r="I20" s="36"/>
      <c r="J20" s="36" t="s">
        <v>330</v>
      </c>
      <c r="K20" s="36" t="s">
        <v>398</v>
      </c>
      <c r="L20" s="36">
        <v>4</v>
      </c>
      <c r="M20" s="36">
        <f>L20*5</f>
        <v>20</v>
      </c>
      <c r="N20" s="36">
        <v>30</v>
      </c>
      <c r="O20" s="69" t="s">
        <v>441</v>
      </c>
      <c r="P20" s="37">
        <v>5.8799999999999998E-2</v>
      </c>
      <c r="Q20" s="37">
        <f>P20*N20</f>
        <v>1.764</v>
      </c>
      <c r="R20" s="36"/>
      <c r="S20" s="55"/>
    </row>
    <row r="21" spans="1:19">
      <c r="A21" s="1"/>
      <c r="B21" s="46">
        <f t="shared" si="0"/>
        <v>12</v>
      </c>
      <c r="C21" s="68" t="s">
        <v>9</v>
      </c>
      <c r="D21" s="50" t="s">
        <v>40</v>
      </c>
      <c r="E21" s="50" t="s">
        <v>117</v>
      </c>
      <c r="F21" s="50" t="s">
        <v>188</v>
      </c>
      <c r="G21" s="50" t="s">
        <v>233</v>
      </c>
      <c r="H21" s="50" t="s">
        <v>288</v>
      </c>
      <c r="I21" s="50"/>
      <c r="J21" s="50" t="s">
        <v>331</v>
      </c>
      <c r="K21" s="50" t="s">
        <v>399</v>
      </c>
      <c r="L21" s="50">
        <v>2</v>
      </c>
      <c r="M21" s="50">
        <f t="shared" ref="M21" si="11">L21*5</f>
        <v>10</v>
      </c>
      <c r="N21" s="50">
        <v>100</v>
      </c>
      <c r="O21" s="69" t="s">
        <v>441</v>
      </c>
      <c r="P21" s="51">
        <v>4.0000000000000001E-3</v>
      </c>
      <c r="Q21" s="51">
        <f t="shared" ref="Q21" si="12">P21*N21</f>
        <v>0.4</v>
      </c>
      <c r="R21" s="50"/>
      <c r="S21" s="55"/>
    </row>
    <row r="22" spans="1:19">
      <c r="A22" s="1"/>
      <c r="B22" s="45">
        <f>ROW(B22) - ROW($B$9)</f>
        <v>13</v>
      </c>
      <c r="C22" s="67" t="s">
        <v>9</v>
      </c>
      <c r="D22" s="36" t="s">
        <v>41</v>
      </c>
      <c r="E22" s="36" t="s">
        <v>118</v>
      </c>
      <c r="F22" s="36" t="s">
        <v>182</v>
      </c>
      <c r="G22" s="36" t="s">
        <v>234</v>
      </c>
      <c r="H22" s="36" t="s">
        <v>288</v>
      </c>
      <c r="I22" s="36"/>
      <c r="J22" s="36" t="s">
        <v>332</v>
      </c>
      <c r="K22" s="36" t="s">
        <v>400</v>
      </c>
      <c r="L22" s="36">
        <v>2</v>
      </c>
      <c r="M22" s="36">
        <f>L22*5</f>
        <v>10</v>
      </c>
      <c r="N22" s="36">
        <v>50</v>
      </c>
      <c r="O22" s="69" t="s">
        <v>441</v>
      </c>
      <c r="P22" s="37">
        <v>1.0699999999999999E-2</v>
      </c>
      <c r="Q22" s="37">
        <f>P22*N22</f>
        <v>0.53499999999999992</v>
      </c>
      <c r="R22" s="36"/>
      <c r="S22" s="55"/>
    </row>
    <row r="23" spans="1:19">
      <c r="A23" s="1"/>
      <c r="B23" s="46">
        <f t="shared" si="0"/>
        <v>14</v>
      </c>
      <c r="C23" s="68" t="s">
        <v>9</v>
      </c>
      <c r="D23" s="50" t="s">
        <v>42</v>
      </c>
      <c r="E23" s="50" t="s">
        <v>119</v>
      </c>
      <c r="F23" s="50" t="s">
        <v>182</v>
      </c>
      <c r="G23" s="50" t="s">
        <v>235</v>
      </c>
      <c r="H23" s="50" t="s">
        <v>288</v>
      </c>
      <c r="I23" s="50"/>
      <c r="J23" s="50" t="s">
        <v>333</v>
      </c>
      <c r="K23" s="50" t="s">
        <v>401</v>
      </c>
      <c r="L23" s="50">
        <v>4</v>
      </c>
      <c r="M23" s="50">
        <f t="shared" ref="M23" si="13">L23*5</f>
        <v>20</v>
      </c>
      <c r="N23" s="50">
        <v>100</v>
      </c>
      <c r="O23" s="69" t="s">
        <v>441</v>
      </c>
      <c r="P23" s="51">
        <v>3.8999999999999998E-3</v>
      </c>
      <c r="Q23" s="51">
        <f t="shared" ref="Q23" si="14">P23*N23</f>
        <v>0.38999999999999996</v>
      </c>
      <c r="R23" s="50"/>
      <c r="S23" s="55"/>
    </row>
    <row r="24" spans="1:19">
      <c r="A24" s="1"/>
      <c r="B24" s="45">
        <f>ROW(B24) - ROW($B$9)</f>
        <v>15</v>
      </c>
      <c r="C24" s="68" t="s">
        <v>9</v>
      </c>
      <c r="D24" s="36" t="s">
        <v>43</v>
      </c>
      <c r="E24" s="36" t="s">
        <v>120</v>
      </c>
      <c r="F24" s="36" t="s">
        <v>184</v>
      </c>
      <c r="G24" s="36" t="s">
        <v>236</v>
      </c>
      <c r="H24" s="36" t="s">
        <v>288</v>
      </c>
      <c r="I24" s="36"/>
      <c r="J24" s="36" t="s">
        <v>334</v>
      </c>
      <c r="K24" s="36" t="s">
        <v>402</v>
      </c>
      <c r="L24" s="36">
        <v>1</v>
      </c>
      <c r="M24" s="36">
        <f>L24*5</f>
        <v>5</v>
      </c>
      <c r="N24" s="36">
        <v>100</v>
      </c>
      <c r="O24" s="69" t="s">
        <v>441</v>
      </c>
      <c r="P24" s="37">
        <v>7.4000000000000003E-3</v>
      </c>
      <c r="Q24" s="37">
        <f>P24*N24</f>
        <v>0.74</v>
      </c>
      <c r="R24" s="36"/>
      <c r="S24" s="55"/>
    </row>
    <row r="25" spans="1:19">
      <c r="A25" s="1"/>
      <c r="B25" s="46">
        <f t="shared" si="0"/>
        <v>16</v>
      </c>
      <c r="C25" s="67" t="s">
        <v>10</v>
      </c>
      <c r="D25" s="50" t="s">
        <v>44</v>
      </c>
      <c r="E25" s="50" t="s">
        <v>121</v>
      </c>
      <c r="F25" s="50" t="s">
        <v>189</v>
      </c>
      <c r="G25" s="50" t="s">
        <v>237</v>
      </c>
      <c r="H25" s="50" t="s">
        <v>292</v>
      </c>
      <c r="I25" s="50"/>
      <c r="J25" s="50" t="s">
        <v>335</v>
      </c>
      <c r="K25" s="50" t="s">
        <v>440</v>
      </c>
      <c r="L25" s="50">
        <v>1</v>
      </c>
      <c r="M25" s="50">
        <f t="shared" ref="M25" si="15">L25*5</f>
        <v>5</v>
      </c>
      <c r="N25" s="50">
        <v>50</v>
      </c>
      <c r="O25" s="69" t="s">
        <v>441</v>
      </c>
      <c r="P25" s="51">
        <v>1.55E-2</v>
      </c>
      <c r="Q25" s="51">
        <f t="shared" ref="Q25" si="16">P25*N25</f>
        <v>0.77500000000000002</v>
      </c>
      <c r="R25" s="50"/>
      <c r="S25" s="55"/>
    </row>
    <row r="26" spans="1:19">
      <c r="A26" s="1"/>
      <c r="B26" s="45">
        <f>ROW(B26) - ROW($B$9)</f>
        <v>17</v>
      </c>
      <c r="C26" s="67" t="s">
        <v>10</v>
      </c>
      <c r="D26" s="36" t="s">
        <v>45</v>
      </c>
      <c r="E26" s="36" t="s">
        <v>122</v>
      </c>
      <c r="F26" s="36" t="s">
        <v>190</v>
      </c>
      <c r="G26" s="36" t="s">
        <v>238</v>
      </c>
      <c r="H26" s="36" t="s">
        <v>293</v>
      </c>
      <c r="I26" s="36"/>
      <c r="J26" s="36" t="s">
        <v>336</v>
      </c>
      <c r="K26" s="36" t="s">
        <v>440</v>
      </c>
      <c r="L26" s="36">
        <v>1</v>
      </c>
      <c r="M26" s="36">
        <f>L26*5</f>
        <v>5</v>
      </c>
      <c r="N26" s="36">
        <v>20</v>
      </c>
      <c r="O26" s="69" t="s">
        <v>441</v>
      </c>
      <c r="P26" s="37">
        <v>2.3599999999999999E-2</v>
      </c>
      <c r="Q26" s="37">
        <f>P26*N26</f>
        <v>0.47199999999999998</v>
      </c>
      <c r="R26" s="36"/>
      <c r="S26" s="55"/>
    </row>
    <row r="27" spans="1:19" ht="36">
      <c r="A27" s="1"/>
      <c r="B27" s="46">
        <f t="shared" si="0"/>
        <v>18</v>
      </c>
      <c r="C27" s="68" t="s">
        <v>10</v>
      </c>
      <c r="D27" s="50" t="s">
        <v>46</v>
      </c>
      <c r="E27" s="50" t="s">
        <v>123</v>
      </c>
      <c r="F27" s="50" t="s">
        <v>191</v>
      </c>
      <c r="G27" s="50" t="s">
        <v>239</v>
      </c>
      <c r="H27" s="50" t="s">
        <v>294</v>
      </c>
      <c r="I27" s="50"/>
      <c r="J27" s="50" t="s">
        <v>337</v>
      </c>
      <c r="K27" s="36" t="s">
        <v>440</v>
      </c>
      <c r="L27" s="50">
        <v>2</v>
      </c>
      <c r="M27" s="50">
        <f t="shared" ref="M27" si="17">L27*5</f>
        <v>10</v>
      </c>
      <c r="N27" s="50">
        <v>20</v>
      </c>
      <c r="O27" s="69" t="s">
        <v>441</v>
      </c>
      <c r="P27" s="51">
        <v>2.3099999999999999E-2</v>
      </c>
      <c r="Q27" s="51">
        <f t="shared" ref="Q27" si="18">P27*N27</f>
        <v>0.46199999999999997</v>
      </c>
      <c r="R27" s="50"/>
      <c r="S27" s="55"/>
    </row>
    <row r="28" spans="1:19" ht="24">
      <c r="A28" s="1"/>
      <c r="B28" s="45">
        <f>ROW(B28) - ROW($B$9)</f>
        <v>19</v>
      </c>
      <c r="C28" s="67" t="s">
        <v>10</v>
      </c>
      <c r="D28" s="36" t="s">
        <v>47</v>
      </c>
      <c r="E28" s="36" t="s">
        <v>124</v>
      </c>
      <c r="F28" s="36" t="s">
        <v>192</v>
      </c>
      <c r="G28" s="36" t="s">
        <v>240</v>
      </c>
      <c r="H28" s="36" t="s">
        <v>295</v>
      </c>
      <c r="I28" s="36"/>
      <c r="J28" s="36" t="s">
        <v>338</v>
      </c>
      <c r="K28" s="36" t="s">
        <v>440</v>
      </c>
      <c r="L28" s="36">
        <v>7</v>
      </c>
      <c r="M28" s="36">
        <f>L28*5</f>
        <v>35</v>
      </c>
      <c r="N28" s="36">
        <v>50</v>
      </c>
      <c r="O28" s="69" t="s">
        <v>441</v>
      </c>
      <c r="P28" s="37">
        <v>8.8999999999999999E-3</v>
      </c>
      <c r="Q28" s="37">
        <f>P28*N28</f>
        <v>0.44500000000000001</v>
      </c>
      <c r="R28" s="36"/>
      <c r="S28" s="55"/>
    </row>
    <row r="29" spans="1:19" ht="24">
      <c r="A29" s="1"/>
      <c r="B29" s="46">
        <f t="shared" si="0"/>
        <v>20</v>
      </c>
      <c r="C29" s="68" t="s">
        <v>11</v>
      </c>
      <c r="D29" s="50" t="s">
        <v>48</v>
      </c>
      <c r="E29" s="50" t="s">
        <v>125</v>
      </c>
      <c r="F29" s="50" t="s">
        <v>193</v>
      </c>
      <c r="G29" s="50" t="s">
        <v>241</v>
      </c>
      <c r="H29" s="50" t="s">
        <v>296</v>
      </c>
      <c r="I29" s="50"/>
      <c r="J29" s="50" t="s">
        <v>339</v>
      </c>
      <c r="K29" s="36" t="s">
        <v>440</v>
      </c>
      <c r="L29" s="50">
        <v>9</v>
      </c>
      <c r="M29" s="50">
        <f t="shared" ref="M29" si="19">L29*5</f>
        <v>45</v>
      </c>
      <c r="N29" s="50">
        <v>50</v>
      </c>
      <c r="O29" s="69" t="s">
        <v>441</v>
      </c>
      <c r="P29" s="51">
        <v>5.96E-2</v>
      </c>
      <c r="Q29" s="51">
        <f t="shared" ref="Q29" si="20">P29*N29</f>
        <v>2.98</v>
      </c>
      <c r="R29" s="50"/>
      <c r="S29" s="55"/>
    </row>
    <row r="30" spans="1:19">
      <c r="A30" s="1"/>
      <c r="B30" s="45">
        <f>ROW(B30) - ROW($B$9)</f>
        <v>21</v>
      </c>
      <c r="C30" s="67" t="s">
        <v>11</v>
      </c>
      <c r="D30" s="36" t="s">
        <v>49</v>
      </c>
      <c r="E30" s="36" t="s">
        <v>126</v>
      </c>
      <c r="F30" s="36" t="s">
        <v>194</v>
      </c>
      <c r="G30" s="36" t="s">
        <v>242</v>
      </c>
      <c r="H30" s="36" t="s">
        <v>296</v>
      </c>
      <c r="I30" s="36"/>
      <c r="J30" s="36" t="s">
        <v>340</v>
      </c>
      <c r="K30" s="36" t="s">
        <v>440</v>
      </c>
      <c r="L30" s="36">
        <v>1</v>
      </c>
      <c r="M30" s="36">
        <f>L30*5</f>
        <v>5</v>
      </c>
      <c r="N30" s="36">
        <v>10</v>
      </c>
      <c r="O30" s="69" t="s">
        <v>441</v>
      </c>
      <c r="P30" s="37">
        <v>0.21029999999999999</v>
      </c>
      <c r="Q30" s="37">
        <f>P30*N30</f>
        <v>2.1029999999999998</v>
      </c>
      <c r="R30" s="36"/>
      <c r="S30" s="55"/>
    </row>
    <row r="31" spans="1:19" ht="36">
      <c r="A31" s="1"/>
      <c r="B31" s="46">
        <f t="shared" si="0"/>
        <v>22</v>
      </c>
      <c r="C31" s="68" t="s">
        <v>12</v>
      </c>
      <c r="D31" s="50" t="s">
        <v>50</v>
      </c>
      <c r="E31" s="50" t="s">
        <v>127</v>
      </c>
      <c r="F31" s="50" t="s">
        <v>438</v>
      </c>
      <c r="G31" s="50" t="s">
        <v>195</v>
      </c>
      <c r="H31" s="50" t="s">
        <v>297</v>
      </c>
      <c r="I31" s="50"/>
      <c r="J31" s="50" t="s">
        <v>341</v>
      </c>
      <c r="K31" s="36" t="s">
        <v>440</v>
      </c>
      <c r="L31" s="50">
        <v>1</v>
      </c>
      <c r="M31" s="50">
        <f t="shared" ref="M31" si="21">L31*5</f>
        <v>5</v>
      </c>
      <c r="N31" s="50">
        <v>10</v>
      </c>
      <c r="O31" s="69" t="s">
        <v>441</v>
      </c>
      <c r="P31" s="51">
        <v>4.8899999999999999E-2</v>
      </c>
      <c r="Q31" s="51">
        <f t="shared" ref="Q31" si="22">P31*N31</f>
        <v>0.48899999999999999</v>
      </c>
      <c r="R31" s="50"/>
      <c r="S31" s="55"/>
    </row>
    <row r="32" spans="1:19" ht="36">
      <c r="A32" s="1"/>
      <c r="B32" s="45">
        <f>ROW(B32) - ROW($B$9)</f>
        <v>23</v>
      </c>
      <c r="C32" s="67" t="s">
        <v>13</v>
      </c>
      <c r="D32" s="36" t="s">
        <v>51</v>
      </c>
      <c r="E32" s="36" t="s">
        <v>128</v>
      </c>
      <c r="F32" s="50" t="s">
        <v>438</v>
      </c>
      <c r="G32" s="36" t="s">
        <v>196</v>
      </c>
      <c r="H32" s="36" t="s">
        <v>298</v>
      </c>
      <c r="I32" s="36"/>
      <c r="J32" s="36" t="s">
        <v>342</v>
      </c>
      <c r="K32" s="36" t="s">
        <v>440</v>
      </c>
      <c r="L32" s="36">
        <v>3</v>
      </c>
      <c r="M32" s="36">
        <f>L32*5</f>
        <v>15</v>
      </c>
      <c r="N32" s="36">
        <v>20</v>
      </c>
      <c r="O32" s="69" t="s">
        <v>441</v>
      </c>
      <c r="P32" s="37">
        <v>4.4299999999999999E-2</v>
      </c>
      <c r="Q32" s="37">
        <f>P32*N32</f>
        <v>0.88600000000000001</v>
      </c>
      <c r="R32" s="36"/>
      <c r="S32" s="55"/>
    </row>
    <row r="33" spans="1:19" ht="24">
      <c r="A33" s="1"/>
      <c r="B33" s="46">
        <f t="shared" si="0"/>
        <v>24</v>
      </c>
      <c r="C33" s="68" t="s">
        <v>14</v>
      </c>
      <c r="D33" s="50" t="s">
        <v>52</v>
      </c>
      <c r="E33" s="50" t="s">
        <v>129</v>
      </c>
      <c r="F33" s="50" t="s">
        <v>438</v>
      </c>
      <c r="G33" s="50" t="s">
        <v>243</v>
      </c>
      <c r="H33" s="50" t="s">
        <v>299</v>
      </c>
      <c r="I33" s="50"/>
      <c r="J33" s="50" t="s">
        <v>243</v>
      </c>
      <c r="K33" s="36" t="s">
        <v>440</v>
      </c>
      <c r="L33" s="50">
        <v>1</v>
      </c>
      <c r="M33" s="50">
        <f t="shared" ref="M33" si="23">L33*5</f>
        <v>5</v>
      </c>
      <c r="N33" s="50">
        <v>12</v>
      </c>
      <c r="O33" s="69" t="s">
        <v>441</v>
      </c>
      <c r="P33" s="51">
        <v>6.8000000000000005E-2</v>
      </c>
      <c r="Q33" s="51">
        <f t="shared" ref="Q33" si="24">P33*N33</f>
        <v>0.81600000000000006</v>
      </c>
      <c r="R33" s="50"/>
      <c r="S33" s="55"/>
    </row>
    <row r="34" spans="1:19" ht="48">
      <c r="A34" s="1"/>
      <c r="B34" s="45">
        <f>ROW(B34) - ROW($B$9)</f>
        <v>25</v>
      </c>
      <c r="C34" s="67" t="s">
        <v>15</v>
      </c>
      <c r="D34" s="36" t="s">
        <v>53</v>
      </c>
      <c r="E34" s="36" t="s">
        <v>130</v>
      </c>
      <c r="F34" s="50" t="s">
        <v>438</v>
      </c>
      <c r="G34" s="36" t="s">
        <v>244</v>
      </c>
      <c r="H34" s="36" t="s">
        <v>297</v>
      </c>
      <c r="I34" s="36"/>
      <c r="J34" s="36" t="s">
        <v>343</v>
      </c>
      <c r="K34" s="36" t="s">
        <v>440</v>
      </c>
      <c r="L34" s="36">
        <v>1</v>
      </c>
      <c r="M34" s="36">
        <f>L34*5</f>
        <v>5</v>
      </c>
      <c r="N34" s="36">
        <v>20</v>
      </c>
      <c r="O34" s="69" t="s">
        <v>441</v>
      </c>
      <c r="P34" s="37">
        <v>3.0200000000000001E-2</v>
      </c>
      <c r="Q34" s="37">
        <f>P34*N34</f>
        <v>0.60399999999999998</v>
      </c>
      <c r="R34" s="36"/>
      <c r="S34" s="55"/>
    </row>
    <row r="35" spans="1:19" ht="36">
      <c r="A35" s="1"/>
      <c r="B35" s="46">
        <f t="shared" si="0"/>
        <v>26</v>
      </c>
      <c r="C35" s="68" t="s">
        <v>14</v>
      </c>
      <c r="D35" s="50" t="s">
        <v>54</v>
      </c>
      <c r="E35" s="50" t="s">
        <v>131</v>
      </c>
      <c r="F35" s="50" t="s">
        <v>438</v>
      </c>
      <c r="G35" s="50" t="s">
        <v>245</v>
      </c>
      <c r="H35" s="50" t="s">
        <v>300</v>
      </c>
      <c r="I35" s="50"/>
      <c r="J35" s="50" t="s">
        <v>344</v>
      </c>
      <c r="K35" s="36" t="s">
        <v>440</v>
      </c>
      <c r="L35" s="50">
        <v>1</v>
      </c>
      <c r="M35" s="50">
        <f t="shared" ref="M35" si="25">L35*5</f>
        <v>5</v>
      </c>
      <c r="N35" s="50">
        <v>10</v>
      </c>
      <c r="O35" s="69" t="s">
        <v>441</v>
      </c>
      <c r="P35" s="51">
        <v>0.3327</v>
      </c>
      <c r="Q35" s="51">
        <f t="shared" ref="Q35" si="26">P35*N35</f>
        <v>3.327</v>
      </c>
      <c r="R35" s="50"/>
      <c r="S35" s="55"/>
    </row>
    <row r="36" spans="1:19">
      <c r="A36" s="1"/>
      <c r="B36" s="45">
        <f>ROW(B36) - ROW($B$9)</f>
        <v>27</v>
      </c>
      <c r="C36" s="67" t="s">
        <v>16</v>
      </c>
      <c r="D36" s="36" t="s">
        <v>55</v>
      </c>
      <c r="E36" s="36" t="s">
        <v>132</v>
      </c>
      <c r="F36" s="50" t="s">
        <v>438</v>
      </c>
      <c r="G36" s="36" t="s">
        <v>197</v>
      </c>
      <c r="H36" s="36" t="s">
        <v>301</v>
      </c>
      <c r="I36" s="36"/>
      <c r="J36" s="36" t="s">
        <v>345</v>
      </c>
      <c r="K36" s="36" t="s">
        <v>440</v>
      </c>
      <c r="L36" s="36">
        <v>1</v>
      </c>
      <c r="M36" s="36">
        <f>L36*5</f>
        <v>5</v>
      </c>
      <c r="N36" s="36">
        <v>6</v>
      </c>
      <c r="O36" s="69" t="s">
        <v>441</v>
      </c>
      <c r="P36" s="37">
        <v>1.8726</v>
      </c>
      <c r="Q36" s="37">
        <f>P36*N36</f>
        <v>11.2356</v>
      </c>
      <c r="R36" s="36"/>
      <c r="S36" s="55"/>
    </row>
    <row r="37" spans="1:19" ht="48">
      <c r="A37" s="1"/>
      <c r="B37" s="46">
        <f t="shared" si="0"/>
        <v>28</v>
      </c>
      <c r="C37" s="68" t="s">
        <v>17</v>
      </c>
      <c r="D37" s="50" t="s">
        <v>56</v>
      </c>
      <c r="E37" s="50" t="s">
        <v>133</v>
      </c>
      <c r="F37" s="50" t="s">
        <v>438</v>
      </c>
      <c r="G37" s="50" t="s">
        <v>198</v>
      </c>
      <c r="H37" s="50" t="s">
        <v>300</v>
      </c>
      <c r="I37" s="50"/>
      <c r="J37" s="50" t="s">
        <v>346</v>
      </c>
      <c r="K37" s="36" t="s">
        <v>440</v>
      </c>
      <c r="L37" s="50">
        <v>3</v>
      </c>
      <c r="M37" s="50">
        <f t="shared" ref="M37" si="27">L37*5</f>
        <v>15</v>
      </c>
      <c r="N37" s="50">
        <v>20</v>
      </c>
      <c r="O37" s="69" t="s">
        <v>441</v>
      </c>
      <c r="P37" s="51">
        <v>0.115</v>
      </c>
      <c r="Q37" s="51">
        <f t="shared" ref="Q37" si="28">P37*N37</f>
        <v>2.3000000000000003</v>
      </c>
      <c r="R37" s="50"/>
      <c r="S37" s="55"/>
    </row>
    <row r="38" spans="1:19" ht="24">
      <c r="A38" s="1"/>
      <c r="B38" s="45">
        <f>ROW(B38) - ROW($B$9)</f>
        <v>29</v>
      </c>
      <c r="C38" s="67" t="s">
        <v>18</v>
      </c>
      <c r="D38" s="36" t="s">
        <v>57</v>
      </c>
      <c r="E38" s="36" t="s">
        <v>134</v>
      </c>
      <c r="F38" s="50" t="s">
        <v>438</v>
      </c>
      <c r="G38" s="36" t="s">
        <v>199</v>
      </c>
      <c r="H38" s="36" t="s">
        <v>302</v>
      </c>
      <c r="I38" s="36"/>
      <c r="J38" s="36" t="s">
        <v>347</v>
      </c>
      <c r="K38" s="36" t="s">
        <v>403</v>
      </c>
      <c r="L38" s="36">
        <v>3</v>
      </c>
      <c r="M38" s="36">
        <f>L38*5</f>
        <v>15</v>
      </c>
      <c r="N38" s="36">
        <v>16</v>
      </c>
      <c r="O38" s="69" t="s">
        <v>441</v>
      </c>
      <c r="P38" s="37">
        <v>7.17E-2</v>
      </c>
      <c r="Q38" s="37">
        <f>P38*N38</f>
        <v>1.1472</v>
      </c>
      <c r="R38" s="36"/>
      <c r="S38" s="55"/>
    </row>
    <row r="39" spans="1:19" ht="36">
      <c r="A39" s="1"/>
      <c r="B39" s="46">
        <f t="shared" si="0"/>
        <v>30</v>
      </c>
      <c r="C39" s="68" t="s">
        <v>18</v>
      </c>
      <c r="D39" s="50" t="s">
        <v>58</v>
      </c>
      <c r="E39" s="50" t="s">
        <v>135</v>
      </c>
      <c r="F39" s="50" t="s">
        <v>438</v>
      </c>
      <c r="G39" s="50" t="s">
        <v>200</v>
      </c>
      <c r="H39" s="50" t="s">
        <v>303</v>
      </c>
      <c r="I39" s="50"/>
      <c r="J39" s="50" t="s">
        <v>348</v>
      </c>
      <c r="K39" s="50" t="s">
        <v>404</v>
      </c>
      <c r="L39" s="50">
        <v>4</v>
      </c>
      <c r="M39" s="50">
        <f t="shared" ref="M39" si="29">L39*5</f>
        <v>20</v>
      </c>
      <c r="N39" s="50">
        <v>25</v>
      </c>
      <c r="O39" s="69" t="s">
        <v>441</v>
      </c>
      <c r="P39" s="51">
        <v>0.31559999999999999</v>
      </c>
      <c r="Q39" s="51">
        <f t="shared" ref="Q39" si="30">P39*N39</f>
        <v>7.89</v>
      </c>
      <c r="R39" s="50"/>
      <c r="S39" s="55"/>
    </row>
    <row r="40" spans="1:19" ht="24">
      <c r="A40" s="1"/>
      <c r="B40" s="45">
        <f>ROW(B40) - ROW($B$9)</f>
        <v>31</v>
      </c>
      <c r="C40" s="67" t="s">
        <v>19</v>
      </c>
      <c r="D40" s="36" t="s">
        <v>59</v>
      </c>
      <c r="E40" s="36" t="s">
        <v>136</v>
      </c>
      <c r="F40" s="36" t="s">
        <v>201</v>
      </c>
      <c r="G40" s="36" t="s">
        <v>246</v>
      </c>
      <c r="H40" s="36" t="s">
        <v>304</v>
      </c>
      <c r="I40" s="36"/>
      <c r="J40" s="36" t="s">
        <v>349</v>
      </c>
      <c r="K40" s="36" t="s">
        <v>440</v>
      </c>
      <c r="L40" s="36">
        <v>2</v>
      </c>
      <c r="M40" s="36">
        <f>L40*5</f>
        <v>10</v>
      </c>
      <c r="N40" s="36">
        <v>20</v>
      </c>
      <c r="O40" s="69" t="s">
        <v>441</v>
      </c>
      <c r="P40" s="37">
        <v>2.0799999999999999E-2</v>
      </c>
      <c r="Q40" s="37">
        <f>P40*N40</f>
        <v>0.41599999999999998</v>
      </c>
      <c r="R40" s="36"/>
      <c r="S40" s="55"/>
    </row>
    <row r="41" spans="1:19" ht="24">
      <c r="A41" s="1"/>
      <c r="B41" s="46">
        <f t="shared" si="0"/>
        <v>32</v>
      </c>
      <c r="C41" s="68" t="s">
        <v>19</v>
      </c>
      <c r="D41" s="50" t="s">
        <v>60</v>
      </c>
      <c r="E41" s="50" t="s">
        <v>137</v>
      </c>
      <c r="F41" s="50" t="s">
        <v>201</v>
      </c>
      <c r="G41" s="50" t="s">
        <v>247</v>
      </c>
      <c r="H41" s="50" t="s">
        <v>304</v>
      </c>
      <c r="I41" s="50"/>
      <c r="J41" s="50" t="s">
        <v>350</v>
      </c>
      <c r="K41" s="50" t="s">
        <v>440</v>
      </c>
      <c r="L41" s="50">
        <v>1</v>
      </c>
      <c r="M41" s="50">
        <f t="shared" ref="M41" si="31">L41*5</f>
        <v>5</v>
      </c>
      <c r="N41" s="50">
        <v>20</v>
      </c>
      <c r="O41" s="69" t="s">
        <v>441</v>
      </c>
      <c r="P41" s="51">
        <v>2.1999999999999999E-2</v>
      </c>
      <c r="Q41" s="51">
        <f t="shared" ref="Q41" si="32">P41*N41</f>
        <v>0.43999999999999995</v>
      </c>
      <c r="R41" s="50"/>
      <c r="S41" s="55"/>
    </row>
    <row r="42" spans="1:19" ht="48">
      <c r="A42" s="1"/>
      <c r="B42" s="45">
        <f>ROW(B42) - ROW($B$9)</f>
        <v>33</v>
      </c>
      <c r="C42" s="67" t="s">
        <v>20</v>
      </c>
      <c r="D42" s="72" t="s">
        <v>61</v>
      </c>
      <c r="E42" s="72" t="s">
        <v>138</v>
      </c>
      <c r="F42" s="73" t="s">
        <v>438</v>
      </c>
      <c r="G42" s="72" t="s">
        <v>202</v>
      </c>
      <c r="H42" s="72" t="s">
        <v>440</v>
      </c>
      <c r="I42" s="72" t="s">
        <v>440</v>
      </c>
      <c r="J42" s="72" t="s">
        <v>440</v>
      </c>
      <c r="K42" s="72" t="s">
        <v>440</v>
      </c>
      <c r="L42" s="72">
        <v>27</v>
      </c>
      <c r="M42" s="72">
        <f>L42*5</f>
        <v>135</v>
      </c>
      <c r="N42" s="72" t="s">
        <v>440</v>
      </c>
      <c r="O42" s="72" t="s">
        <v>441</v>
      </c>
      <c r="P42" s="74" t="s">
        <v>440</v>
      </c>
      <c r="Q42" s="74" t="s">
        <v>440</v>
      </c>
      <c r="R42" s="72"/>
      <c r="S42" s="75"/>
    </row>
    <row r="43" spans="1:19">
      <c r="A43" s="1"/>
      <c r="B43" s="46">
        <f t="shared" si="0"/>
        <v>34</v>
      </c>
      <c r="C43" s="68" t="s">
        <v>21</v>
      </c>
      <c r="D43" s="50" t="s">
        <v>62</v>
      </c>
      <c r="E43" s="50" t="s">
        <v>139</v>
      </c>
      <c r="F43" s="50" t="s">
        <v>203</v>
      </c>
      <c r="G43" s="50" t="s">
        <v>248</v>
      </c>
      <c r="H43" s="50" t="s">
        <v>305</v>
      </c>
      <c r="I43" s="50" t="s">
        <v>440</v>
      </c>
      <c r="J43" s="50" t="s">
        <v>351</v>
      </c>
      <c r="K43" s="50" t="s">
        <v>440</v>
      </c>
      <c r="L43" s="50">
        <v>2</v>
      </c>
      <c r="M43" s="50">
        <f t="shared" ref="M43" si="33">L43*5</f>
        <v>10</v>
      </c>
      <c r="N43" s="50">
        <v>11</v>
      </c>
      <c r="O43" s="69" t="s">
        <v>441</v>
      </c>
      <c r="P43" s="51">
        <v>1.0055000000000001</v>
      </c>
      <c r="Q43" s="51">
        <f t="shared" ref="Q43" si="34">P43*N43</f>
        <v>11.060500000000001</v>
      </c>
      <c r="R43" s="50"/>
      <c r="S43" s="55"/>
    </row>
    <row r="44" spans="1:19" ht="24">
      <c r="A44" s="1"/>
      <c r="B44" s="45">
        <f>ROW(B44) - ROW($B$9)</f>
        <v>35</v>
      </c>
      <c r="C44" s="68" t="s">
        <v>21</v>
      </c>
      <c r="D44" s="36" t="s">
        <v>63</v>
      </c>
      <c r="E44" s="36" t="s">
        <v>140</v>
      </c>
      <c r="F44" s="36" t="s">
        <v>204</v>
      </c>
      <c r="G44" s="36" t="s">
        <v>249</v>
      </c>
      <c r="H44" s="36" t="s">
        <v>306</v>
      </c>
      <c r="I44" s="36"/>
      <c r="J44" s="36" t="s">
        <v>352</v>
      </c>
      <c r="K44" s="36" t="s">
        <v>440</v>
      </c>
      <c r="L44" s="36">
        <v>1</v>
      </c>
      <c r="M44" s="36">
        <f>L44*5</f>
        <v>5</v>
      </c>
      <c r="N44" s="36">
        <v>20</v>
      </c>
      <c r="O44" s="69" t="s">
        <v>441</v>
      </c>
      <c r="P44" s="37">
        <v>1.9300000000000001E-2</v>
      </c>
      <c r="Q44" s="37">
        <f>P44*N44</f>
        <v>0.38600000000000001</v>
      </c>
      <c r="R44" s="36"/>
      <c r="S44" s="55"/>
    </row>
    <row r="45" spans="1:19" ht="24">
      <c r="A45" s="1"/>
      <c r="B45" s="46">
        <f t="shared" si="0"/>
        <v>36</v>
      </c>
      <c r="C45" s="68" t="s">
        <v>21</v>
      </c>
      <c r="D45" s="50" t="s">
        <v>64</v>
      </c>
      <c r="E45" s="50" t="s">
        <v>141</v>
      </c>
      <c r="F45" s="50" t="s">
        <v>204</v>
      </c>
      <c r="G45" s="50" t="s">
        <v>250</v>
      </c>
      <c r="H45" s="50" t="s">
        <v>295</v>
      </c>
      <c r="I45" s="50"/>
      <c r="J45" s="50" t="s">
        <v>353</v>
      </c>
      <c r="K45" s="50" t="s">
        <v>440</v>
      </c>
      <c r="L45" s="50">
        <v>2</v>
      </c>
      <c r="M45" s="50">
        <f t="shared" ref="M45" si="35">L45*5</f>
        <v>10</v>
      </c>
      <c r="N45" s="50">
        <v>20</v>
      </c>
      <c r="O45" s="69" t="s">
        <v>441</v>
      </c>
      <c r="P45" s="51">
        <v>1.9099999999999999E-2</v>
      </c>
      <c r="Q45" s="51">
        <f t="shared" ref="Q45" si="36">P45*N45</f>
        <v>0.38200000000000001</v>
      </c>
      <c r="R45" s="50"/>
      <c r="S45" s="55"/>
    </row>
    <row r="46" spans="1:19" ht="24">
      <c r="A46" s="1"/>
      <c r="B46" s="45">
        <f>ROW(B46) - ROW($B$9)</f>
        <v>37</v>
      </c>
      <c r="C46" s="67" t="s">
        <v>22</v>
      </c>
      <c r="D46" s="36" t="s">
        <v>65</v>
      </c>
      <c r="E46" s="36" t="s">
        <v>142</v>
      </c>
      <c r="F46" s="36" t="s">
        <v>205</v>
      </c>
      <c r="G46" s="36" t="s">
        <v>251</v>
      </c>
      <c r="H46" s="36" t="s">
        <v>288</v>
      </c>
      <c r="I46" s="36"/>
      <c r="J46" s="36" t="s">
        <v>354</v>
      </c>
      <c r="K46" s="36" t="s">
        <v>405</v>
      </c>
      <c r="L46" s="36">
        <v>12</v>
      </c>
      <c r="M46" s="36">
        <f>L46*5</f>
        <v>60</v>
      </c>
      <c r="N46" s="36">
        <v>100</v>
      </c>
      <c r="O46" s="69" t="s">
        <v>441</v>
      </c>
      <c r="P46" s="37">
        <v>5.9999999999999995E-4</v>
      </c>
      <c r="Q46" s="37">
        <f>P46*N46</f>
        <v>0.06</v>
      </c>
      <c r="R46" s="36"/>
      <c r="S46" s="55"/>
    </row>
    <row r="47" spans="1:19" ht="36">
      <c r="A47" s="1"/>
      <c r="B47" s="46">
        <f t="shared" si="0"/>
        <v>38</v>
      </c>
      <c r="C47" s="68" t="s">
        <v>22</v>
      </c>
      <c r="D47" s="50" t="s">
        <v>66</v>
      </c>
      <c r="E47" s="50" t="s">
        <v>143</v>
      </c>
      <c r="F47" s="50" t="s">
        <v>206</v>
      </c>
      <c r="G47" s="50" t="s">
        <v>252</v>
      </c>
      <c r="H47" s="50" t="s">
        <v>307</v>
      </c>
      <c r="I47" s="50"/>
      <c r="J47" s="50" t="s">
        <v>355</v>
      </c>
      <c r="K47" s="50" t="s">
        <v>406</v>
      </c>
      <c r="L47" s="50">
        <v>1</v>
      </c>
      <c r="M47" s="50">
        <f t="shared" ref="M47" si="37">L47*5</f>
        <v>5</v>
      </c>
      <c r="N47" s="50">
        <v>10</v>
      </c>
      <c r="O47" s="69" t="s">
        <v>441</v>
      </c>
      <c r="P47" s="51">
        <v>4.1500000000000002E-2</v>
      </c>
      <c r="Q47" s="51">
        <f t="shared" ref="Q47" si="38">P47*N47</f>
        <v>0.41500000000000004</v>
      </c>
      <c r="R47" s="50"/>
      <c r="S47" s="55"/>
    </row>
    <row r="48" spans="1:19" ht="48">
      <c r="A48" s="1"/>
      <c r="B48" s="45">
        <f>ROW(B48) - ROW($B$9)</f>
        <v>39</v>
      </c>
      <c r="C48" s="67" t="s">
        <v>22</v>
      </c>
      <c r="D48" s="36" t="s">
        <v>67</v>
      </c>
      <c r="E48" s="36" t="s">
        <v>144</v>
      </c>
      <c r="F48" s="36" t="s">
        <v>205</v>
      </c>
      <c r="G48" s="36" t="s">
        <v>253</v>
      </c>
      <c r="H48" s="36" t="s">
        <v>288</v>
      </c>
      <c r="I48" s="36"/>
      <c r="J48" s="36" t="s">
        <v>356</v>
      </c>
      <c r="K48" s="36" t="s">
        <v>407</v>
      </c>
      <c r="L48" s="36">
        <v>25</v>
      </c>
      <c r="M48" s="36">
        <f>L48*5</f>
        <v>125</v>
      </c>
      <c r="N48" s="36">
        <v>200</v>
      </c>
      <c r="O48" s="69" t="s">
        <v>441</v>
      </c>
      <c r="P48" s="37">
        <v>5.9999999999999995E-4</v>
      </c>
      <c r="Q48" s="37">
        <f>P48*N48</f>
        <v>0.12</v>
      </c>
      <c r="R48" s="36"/>
      <c r="S48" s="55"/>
    </row>
    <row r="49" spans="1:19">
      <c r="A49" s="1"/>
      <c r="B49" s="46">
        <f t="shared" si="0"/>
        <v>40</v>
      </c>
      <c r="C49" s="67" t="s">
        <v>22</v>
      </c>
      <c r="D49" s="50" t="s">
        <v>68</v>
      </c>
      <c r="E49" s="50" t="s">
        <v>145</v>
      </c>
      <c r="F49" s="50" t="s">
        <v>205</v>
      </c>
      <c r="G49" s="50" t="s">
        <v>254</v>
      </c>
      <c r="H49" s="50" t="s">
        <v>288</v>
      </c>
      <c r="I49" s="50"/>
      <c r="J49" s="50" t="s">
        <v>357</v>
      </c>
      <c r="K49" s="50" t="s">
        <v>406</v>
      </c>
      <c r="L49" s="50">
        <v>2</v>
      </c>
      <c r="M49" s="50">
        <f t="shared" ref="M49" si="39">L49*5</f>
        <v>10</v>
      </c>
      <c r="N49" s="50">
        <v>100</v>
      </c>
      <c r="O49" s="69" t="s">
        <v>441</v>
      </c>
      <c r="P49" s="51">
        <v>6.9999999999999999E-4</v>
      </c>
      <c r="Q49" s="51">
        <f t="shared" ref="Q49" si="40">P49*N49</f>
        <v>6.9999999999999993E-2</v>
      </c>
      <c r="R49" s="50"/>
      <c r="S49" s="55"/>
    </row>
    <row r="50" spans="1:19">
      <c r="A50" s="1"/>
      <c r="B50" s="45">
        <f>ROW(B50) - ROW($B$9)</f>
        <v>41</v>
      </c>
      <c r="C50" s="67" t="s">
        <v>22</v>
      </c>
      <c r="D50" s="36" t="s">
        <v>69</v>
      </c>
      <c r="E50" s="36" t="s">
        <v>146</v>
      </c>
      <c r="F50" s="36" t="s">
        <v>205</v>
      </c>
      <c r="G50" s="36" t="s">
        <v>255</v>
      </c>
      <c r="H50" s="36" t="s">
        <v>288</v>
      </c>
      <c r="I50" s="36"/>
      <c r="J50" s="36" t="s">
        <v>358</v>
      </c>
      <c r="K50" s="36" t="s">
        <v>408</v>
      </c>
      <c r="L50" s="36">
        <v>3</v>
      </c>
      <c r="M50" s="36">
        <f>L50*5</f>
        <v>15</v>
      </c>
      <c r="N50" s="36">
        <v>20</v>
      </c>
      <c r="O50" s="69" t="s">
        <v>441</v>
      </c>
      <c r="P50" s="37">
        <v>2.4899999999999999E-2</v>
      </c>
      <c r="Q50" s="37">
        <f>P50*N50</f>
        <v>0.498</v>
      </c>
      <c r="R50" s="36"/>
      <c r="S50" s="55"/>
    </row>
    <row r="51" spans="1:19">
      <c r="A51" s="1"/>
      <c r="B51" s="46">
        <f t="shared" si="0"/>
        <v>42</v>
      </c>
      <c r="C51" s="68" t="s">
        <v>22</v>
      </c>
      <c r="D51" s="50" t="s">
        <v>70</v>
      </c>
      <c r="E51" s="50" t="s">
        <v>147</v>
      </c>
      <c r="F51" s="50" t="s">
        <v>205</v>
      </c>
      <c r="G51" s="50" t="s">
        <v>256</v>
      </c>
      <c r="H51" s="50" t="s">
        <v>288</v>
      </c>
      <c r="I51" s="50"/>
      <c r="J51" s="50" t="s">
        <v>359</v>
      </c>
      <c r="K51" s="50" t="s">
        <v>409</v>
      </c>
      <c r="L51" s="50">
        <v>3</v>
      </c>
      <c r="M51" s="50">
        <f t="shared" ref="M51" si="41">L51*5</f>
        <v>15</v>
      </c>
      <c r="N51" s="50">
        <v>20</v>
      </c>
      <c r="O51" s="69" t="s">
        <v>441</v>
      </c>
      <c r="P51" s="51">
        <v>1.9E-2</v>
      </c>
      <c r="Q51" s="51">
        <f t="shared" ref="Q51" si="42">P51*N51</f>
        <v>0.38</v>
      </c>
      <c r="R51" s="50"/>
      <c r="S51" s="55"/>
    </row>
    <row r="52" spans="1:19">
      <c r="A52" s="1"/>
      <c r="B52" s="45">
        <f>ROW(B52) - ROW($B$9)</f>
        <v>43</v>
      </c>
      <c r="C52" s="67" t="s">
        <v>22</v>
      </c>
      <c r="D52" s="36" t="s">
        <v>71</v>
      </c>
      <c r="E52" s="36" t="s">
        <v>148</v>
      </c>
      <c r="F52" s="36" t="s">
        <v>205</v>
      </c>
      <c r="G52" s="36" t="s">
        <v>257</v>
      </c>
      <c r="H52" s="36" t="s">
        <v>288</v>
      </c>
      <c r="I52" s="36"/>
      <c r="J52" s="36" t="s">
        <v>360</v>
      </c>
      <c r="K52" s="36" t="s">
        <v>410</v>
      </c>
      <c r="L52" s="36">
        <v>5</v>
      </c>
      <c r="M52" s="36">
        <f>L52*5</f>
        <v>25</v>
      </c>
      <c r="N52" s="36">
        <v>100</v>
      </c>
      <c r="O52" s="69" t="s">
        <v>441</v>
      </c>
      <c r="P52" s="37">
        <v>6.9999999999999999E-4</v>
      </c>
      <c r="Q52" s="37">
        <f>P52*N52</f>
        <v>6.9999999999999993E-2</v>
      </c>
      <c r="R52" s="36"/>
      <c r="S52" s="55"/>
    </row>
    <row r="53" spans="1:19">
      <c r="A53" s="1"/>
      <c r="B53" s="46">
        <f t="shared" si="0"/>
        <v>44</v>
      </c>
      <c r="C53" s="68" t="s">
        <v>22</v>
      </c>
      <c r="D53" s="50" t="s">
        <v>72</v>
      </c>
      <c r="E53" s="50" t="s">
        <v>149</v>
      </c>
      <c r="F53" s="50" t="s">
        <v>207</v>
      </c>
      <c r="G53" s="73" t="s">
        <v>258</v>
      </c>
      <c r="H53" s="50" t="s">
        <v>288</v>
      </c>
      <c r="I53" s="50"/>
      <c r="J53" s="50" t="s">
        <v>445</v>
      </c>
      <c r="K53" s="50" t="s">
        <v>406</v>
      </c>
      <c r="L53" s="50">
        <v>4</v>
      </c>
      <c r="M53" s="50">
        <f t="shared" ref="M53" si="43">L53*5</f>
        <v>20</v>
      </c>
      <c r="N53" s="50">
        <v>100</v>
      </c>
      <c r="O53" s="69" t="s">
        <v>441</v>
      </c>
      <c r="P53" s="51">
        <v>1.6999999999999999E-3</v>
      </c>
      <c r="Q53" s="51">
        <f t="shared" ref="Q53" si="44">P53*N53</f>
        <v>0.16999999999999998</v>
      </c>
      <c r="R53" s="50"/>
      <c r="S53" s="55"/>
    </row>
    <row r="54" spans="1:19">
      <c r="A54" s="1"/>
      <c r="B54" s="45">
        <f>ROW(B54) - ROW($B$9)</f>
        <v>45</v>
      </c>
      <c r="C54" s="67" t="s">
        <v>22</v>
      </c>
      <c r="D54" s="36" t="s">
        <v>73</v>
      </c>
      <c r="E54" s="36" t="s">
        <v>150</v>
      </c>
      <c r="F54" s="36" t="s">
        <v>205</v>
      </c>
      <c r="G54" s="36" t="s">
        <v>259</v>
      </c>
      <c r="H54" s="36" t="s">
        <v>288</v>
      </c>
      <c r="I54" s="36"/>
      <c r="J54" s="36" t="s">
        <v>361</v>
      </c>
      <c r="K54" s="36" t="s">
        <v>411</v>
      </c>
      <c r="L54" s="36">
        <v>2</v>
      </c>
      <c r="M54" s="36">
        <f>L54*5</f>
        <v>10</v>
      </c>
      <c r="N54" s="36">
        <v>100</v>
      </c>
      <c r="O54" s="69" t="s">
        <v>441</v>
      </c>
      <c r="P54" s="37">
        <v>6.9999999999999999E-4</v>
      </c>
      <c r="Q54" s="37">
        <f>P54*N54</f>
        <v>6.9999999999999993E-2</v>
      </c>
      <c r="R54" s="36"/>
      <c r="S54" s="55"/>
    </row>
    <row r="55" spans="1:19">
      <c r="A55" s="1"/>
      <c r="B55" s="46">
        <f t="shared" si="0"/>
        <v>46</v>
      </c>
      <c r="C55" s="68" t="s">
        <v>22</v>
      </c>
      <c r="D55" s="50" t="s">
        <v>74</v>
      </c>
      <c r="E55" s="50" t="s">
        <v>151</v>
      </c>
      <c r="F55" s="50" t="s">
        <v>208</v>
      </c>
      <c r="G55" s="50" t="s">
        <v>260</v>
      </c>
      <c r="H55" s="50" t="s">
        <v>288</v>
      </c>
      <c r="I55" s="50"/>
      <c r="J55" s="50" t="s">
        <v>362</v>
      </c>
      <c r="K55" s="50" t="s">
        <v>412</v>
      </c>
      <c r="L55" s="50">
        <v>1</v>
      </c>
      <c r="M55" s="50">
        <f t="shared" ref="M55" si="45">L55*5</f>
        <v>5</v>
      </c>
      <c r="N55" s="50">
        <v>100</v>
      </c>
      <c r="O55" s="69" t="s">
        <v>441</v>
      </c>
      <c r="P55" s="51">
        <v>1.1999999999999999E-3</v>
      </c>
      <c r="Q55" s="51">
        <f t="shared" ref="Q55" si="46">P55*N55</f>
        <v>0.12</v>
      </c>
      <c r="R55" s="50"/>
      <c r="S55" s="55"/>
    </row>
    <row r="56" spans="1:19">
      <c r="A56" s="1"/>
      <c r="B56" s="45">
        <f>ROW(B56) - ROW($B$9)</f>
        <v>47</v>
      </c>
      <c r="C56" s="67" t="s">
        <v>22</v>
      </c>
      <c r="D56" s="36" t="s">
        <v>75</v>
      </c>
      <c r="E56" s="36" t="s">
        <v>152</v>
      </c>
      <c r="F56" s="36" t="s">
        <v>209</v>
      </c>
      <c r="G56" s="36" t="s">
        <v>261</v>
      </c>
      <c r="H56" s="36" t="s">
        <v>288</v>
      </c>
      <c r="I56" s="36"/>
      <c r="J56" s="36" t="s">
        <v>442</v>
      </c>
      <c r="K56" s="36" t="s">
        <v>413</v>
      </c>
      <c r="L56" s="36">
        <v>1</v>
      </c>
      <c r="M56" s="36">
        <f>L56*5</f>
        <v>5</v>
      </c>
      <c r="N56" s="36">
        <v>20</v>
      </c>
      <c r="O56" s="69" t="s">
        <v>441</v>
      </c>
      <c r="P56" s="37">
        <v>3.2399999999999998E-2</v>
      </c>
      <c r="Q56" s="37">
        <f>P56*N56</f>
        <v>0.64799999999999991</v>
      </c>
      <c r="R56" s="36"/>
      <c r="S56" s="55"/>
    </row>
    <row r="57" spans="1:19">
      <c r="A57" s="1"/>
      <c r="B57" s="46">
        <f t="shared" si="0"/>
        <v>48</v>
      </c>
      <c r="C57" s="68" t="s">
        <v>22</v>
      </c>
      <c r="D57" s="50" t="s">
        <v>76</v>
      </c>
      <c r="E57" s="50" t="s">
        <v>153</v>
      </c>
      <c r="F57" s="50" t="s">
        <v>209</v>
      </c>
      <c r="G57" s="50" t="s">
        <v>262</v>
      </c>
      <c r="H57" s="50" t="s">
        <v>288</v>
      </c>
      <c r="I57" s="50"/>
      <c r="J57" s="50" t="s">
        <v>363</v>
      </c>
      <c r="K57" s="50" t="s">
        <v>410</v>
      </c>
      <c r="L57" s="50">
        <v>1</v>
      </c>
      <c r="M57" s="50">
        <f t="shared" ref="M57" si="47">L57*5</f>
        <v>5</v>
      </c>
      <c r="N57" s="50">
        <v>100</v>
      </c>
      <c r="O57" s="69" t="s">
        <v>441</v>
      </c>
      <c r="P57" s="51">
        <v>2.2000000000000001E-3</v>
      </c>
      <c r="Q57" s="51">
        <f t="shared" ref="Q57" si="48">P57*N57</f>
        <v>0.22</v>
      </c>
      <c r="R57" s="50"/>
      <c r="S57" s="55"/>
    </row>
    <row r="58" spans="1:19" ht="60">
      <c r="A58" s="1"/>
      <c r="B58" s="45">
        <f>ROW(B58) - ROW($B$9)</f>
        <v>49</v>
      </c>
      <c r="C58" s="67" t="s">
        <v>22</v>
      </c>
      <c r="D58" s="36" t="s">
        <v>77</v>
      </c>
      <c r="E58" s="36" t="s">
        <v>154</v>
      </c>
      <c r="F58" s="36" t="s">
        <v>210</v>
      </c>
      <c r="G58" s="36" t="s">
        <v>263</v>
      </c>
      <c r="H58" s="36" t="s">
        <v>288</v>
      </c>
      <c r="I58" s="36"/>
      <c r="J58" s="36" t="s">
        <v>364</v>
      </c>
      <c r="K58" s="36" t="s">
        <v>406</v>
      </c>
      <c r="L58" s="36">
        <v>31</v>
      </c>
      <c r="M58" s="36">
        <f>L58*5</f>
        <v>155</v>
      </c>
      <c r="N58" s="36">
        <v>200</v>
      </c>
      <c r="O58" s="69" t="s">
        <v>441</v>
      </c>
      <c r="P58" s="37">
        <v>8.0000000000000004E-4</v>
      </c>
      <c r="Q58" s="37">
        <f>P58*N58</f>
        <v>0.16</v>
      </c>
      <c r="R58" s="36"/>
      <c r="S58" s="55"/>
    </row>
    <row r="59" spans="1:19">
      <c r="A59" s="1"/>
      <c r="B59" s="46">
        <f t="shared" si="0"/>
        <v>50</v>
      </c>
      <c r="C59" s="68" t="s">
        <v>22</v>
      </c>
      <c r="D59" s="50" t="s">
        <v>78</v>
      </c>
      <c r="E59" s="50" t="s">
        <v>155</v>
      </c>
      <c r="F59" s="50" t="s">
        <v>208</v>
      </c>
      <c r="G59" s="50" t="s">
        <v>264</v>
      </c>
      <c r="H59" s="50" t="s">
        <v>288</v>
      </c>
      <c r="I59" s="50"/>
      <c r="J59" s="50" t="s">
        <v>365</v>
      </c>
      <c r="K59" s="50" t="s">
        <v>406</v>
      </c>
      <c r="L59" s="50">
        <v>5</v>
      </c>
      <c r="M59" s="50">
        <f t="shared" ref="M59" si="49">L59*5</f>
        <v>25</v>
      </c>
      <c r="N59" s="50">
        <v>100</v>
      </c>
      <c r="O59" s="69" t="s">
        <v>441</v>
      </c>
      <c r="P59" s="51">
        <v>1.1000000000000001E-3</v>
      </c>
      <c r="Q59" s="51">
        <f t="shared" ref="Q59" si="50">P59*N59</f>
        <v>0.11</v>
      </c>
      <c r="R59" s="50"/>
      <c r="S59" s="55"/>
    </row>
    <row r="60" spans="1:19" ht="72">
      <c r="A60" s="1"/>
      <c r="B60" s="45">
        <f>ROW(B60) - ROW($B$9)</f>
        <v>51</v>
      </c>
      <c r="C60" s="67" t="s">
        <v>22</v>
      </c>
      <c r="D60" s="36" t="s">
        <v>79</v>
      </c>
      <c r="E60" s="36" t="s">
        <v>156</v>
      </c>
      <c r="F60" s="36" t="s">
        <v>210</v>
      </c>
      <c r="G60" s="36" t="s">
        <v>265</v>
      </c>
      <c r="H60" s="36" t="s">
        <v>288</v>
      </c>
      <c r="I60" s="36"/>
      <c r="J60" s="36" t="s">
        <v>366</v>
      </c>
      <c r="K60" s="36" t="s">
        <v>414</v>
      </c>
      <c r="L60" s="36">
        <v>36</v>
      </c>
      <c r="M60" s="36">
        <f>L60*5</f>
        <v>180</v>
      </c>
      <c r="N60" s="36">
        <v>200</v>
      </c>
      <c r="O60" s="69" t="s">
        <v>441</v>
      </c>
      <c r="P60" s="37">
        <v>8.9999999999999998E-4</v>
      </c>
      <c r="Q60" s="37">
        <f>P60*N60</f>
        <v>0.18</v>
      </c>
      <c r="R60" s="36"/>
      <c r="S60" s="55"/>
    </row>
    <row r="61" spans="1:19">
      <c r="A61" s="1"/>
      <c r="B61" s="46">
        <f t="shared" si="0"/>
        <v>52</v>
      </c>
      <c r="C61" s="68" t="s">
        <v>22</v>
      </c>
      <c r="D61" s="50" t="s">
        <v>80</v>
      </c>
      <c r="E61" s="50" t="s">
        <v>157</v>
      </c>
      <c r="F61" s="50" t="s">
        <v>210</v>
      </c>
      <c r="G61" s="50" t="s">
        <v>266</v>
      </c>
      <c r="H61" s="50" t="s">
        <v>288</v>
      </c>
      <c r="I61" s="50"/>
      <c r="J61" s="50" t="s">
        <v>367</v>
      </c>
      <c r="K61" s="50" t="s">
        <v>415</v>
      </c>
      <c r="L61" s="50">
        <v>1</v>
      </c>
      <c r="M61" s="50">
        <f t="shared" ref="M61" si="51">L61*5</f>
        <v>5</v>
      </c>
      <c r="N61" s="50">
        <v>100</v>
      </c>
      <c r="O61" s="69" t="s">
        <v>441</v>
      </c>
      <c r="P61" s="51">
        <v>8.9999999999999998E-4</v>
      </c>
      <c r="Q61" s="51">
        <f t="shared" ref="Q61" si="52">P61*N61</f>
        <v>0.09</v>
      </c>
      <c r="R61" s="50"/>
      <c r="S61" s="55"/>
    </row>
    <row r="62" spans="1:19">
      <c r="A62" s="1"/>
      <c r="B62" s="45">
        <f>ROW(B62) - ROW($B$9)</f>
        <v>53</v>
      </c>
      <c r="C62" s="67" t="s">
        <v>22</v>
      </c>
      <c r="D62" s="36" t="s">
        <v>81</v>
      </c>
      <c r="E62" s="36" t="s">
        <v>158</v>
      </c>
      <c r="F62" s="36" t="s">
        <v>205</v>
      </c>
      <c r="G62" s="36" t="s">
        <v>267</v>
      </c>
      <c r="H62" s="36" t="s">
        <v>288</v>
      </c>
      <c r="I62" s="36"/>
      <c r="J62" s="36" t="s">
        <v>368</v>
      </c>
      <c r="K62" s="36" t="s">
        <v>416</v>
      </c>
      <c r="L62" s="36">
        <v>2</v>
      </c>
      <c r="M62" s="36">
        <f>L62*5</f>
        <v>10</v>
      </c>
      <c r="N62" s="36">
        <v>100</v>
      </c>
      <c r="O62" s="69" t="s">
        <v>441</v>
      </c>
      <c r="P62" s="37">
        <v>6.9999999999999999E-4</v>
      </c>
      <c r="Q62" s="37">
        <f>P62*N62</f>
        <v>6.9999999999999993E-2</v>
      </c>
      <c r="R62" s="36"/>
      <c r="S62" s="55"/>
    </row>
    <row r="63" spans="1:19">
      <c r="A63" s="1"/>
      <c r="B63" s="46">
        <f t="shared" si="0"/>
        <v>54</v>
      </c>
      <c r="C63" s="68" t="s">
        <v>22</v>
      </c>
      <c r="D63" s="50" t="s">
        <v>82</v>
      </c>
      <c r="E63" s="50" t="s">
        <v>159</v>
      </c>
      <c r="F63" s="50" t="s">
        <v>208</v>
      </c>
      <c r="G63" s="50" t="s">
        <v>268</v>
      </c>
      <c r="H63" s="50" t="s">
        <v>288</v>
      </c>
      <c r="I63" s="50"/>
      <c r="J63" s="50" t="s">
        <v>369</v>
      </c>
      <c r="K63" s="50" t="s">
        <v>417</v>
      </c>
      <c r="L63" s="50">
        <v>1</v>
      </c>
      <c r="M63" s="50">
        <f t="shared" ref="M63" si="53">L63*5</f>
        <v>5</v>
      </c>
      <c r="N63" s="50">
        <v>100</v>
      </c>
      <c r="O63" s="69" t="s">
        <v>441</v>
      </c>
      <c r="P63" s="51">
        <v>1.2999999999999999E-3</v>
      </c>
      <c r="Q63" s="51">
        <f t="shared" ref="Q63" si="54">P63*N63</f>
        <v>0.13</v>
      </c>
      <c r="R63" s="50"/>
      <c r="S63" s="55"/>
    </row>
    <row r="64" spans="1:19">
      <c r="A64" s="1"/>
      <c r="B64" s="45">
        <f>ROW(B64) - ROW($B$9)</f>
        <v>55</v>
      </c>
      <c r="C64" s="67" t="s">
        <v>22</v>
      </c>
      <c r="D64" s="76" t="s">
        <v>83</v>
      </c>
      <c r="E64" s="76" t="s">
        <v>148</v>
      </c>
      <c r="F64" s="76" t="s">
        <v>205</v>
      </c>
      <c r="G64" s="76" t="s">
        <v>257</v>
      </c>
      <c r="H64" s="76" t="s">
        <v>288</v>
      </c>
      <c r="I64" s="76"/>
      <c r="J64" s="76" t="s">
        <v>360</v>
      </c>
      <c r="K64" s="76" t="s">
        <v>418</v>
      </c>
      <c r="L64" s="76">
        <v>2</v>
      </c>
      <c r="M64" s="76">
        <f>L64*5</f>
        <v>10</v>
      </c>
      <c r="N64" s="76" t="s">
        <v>440</v>
      </c>
      <c r="O64" s="76" t="s">
        <v>440</v>
      </c>
      <c r="P64" s="77" t="s">
        <v>440</v>
      </c>
      <c r="Q64" s="77" t="s">
        <v>440</v>
      </c>
      <c r="R64" s="79" t="s">
        <v>443</v>
      </c>
      <c r="S64" s="78"/>
    </row>
    <row r="65" spans="1:19">
      <c r="A65" s="1"/>
      <c r="B65" s="46">
        <f t="shared" si="0"/>
        <v>56</v>
      </c>
      <c r="C65" s="68" t="s">
        <v>22</v>
      </c>
      <c r="D65" s="50" t="s">
        <v>84</v>
      </c>
      <c r="E65" s="50" t="s">
        <v>160</v>
      </c>
      <c r="F65" s="50" t="s">
        <v>208</v>
      </c>
      <c r="G65" s="50" t="s">
        <v>269</v>
      </c>
      <c r="H65" s="50" t="s">
        <v>288</v>
      </c>
      <c r="I65" s="50"/>
      <c r="J65" s="50" t="s">
        <v>370</v>
      </c>
      <c r="K65" s="50" t="s">
        <v>419</v>
      </c>
      <c r="L65" s="50">
        <v>2</v>
      </c>
      <c r="M65" s="50">
        <f t="shared" ref="M65" si="55">L65*5</f>
        <v>10</v>
      </c>
      <c r="N65" s="50">
        <v>100</v>
      </c>
      <c r="O65" s="69" t="s">
        <v>441</v>
      </c>
      <c r="P65" s="51">
        <v>2.0999999999999999E-3</v>
      </c>
      <c r="Q65" s="51">
        <f t="shared" ref="Q65" si="56">P65*N65</f>
        <v>0.21</v>
      </c>
      <c r="R65" s="50"/>
      <c r="S65" s="55"/>
    </row>
    <row r="66" spans="1:19">
      <c r="A66" s="1"/>
      <c r="B66" s="45">
        <f>ROW(B66) - ROW($B$9)</f>
        <v>57</v>
      </c>
      <c r="C66" s="67" t="s">
        <v>22</v>
      </c>
      <c r="D66" s="36" t="s">
        <v>85</v>
      </c>
      <c r="E66" s="36" t="s">
        <v>161</v>
      </c>
      <c r="F66" s="36" t="s">
        <v>205</v>
      </c>
      <c r="G66" s="36" t="s">
        <v>270</v>
      </c>
      <c r="H66" s="36" t="s">
        <v>288</v>
      </c>
      <c r="I66" s="36"/>
      <c r="J66" s="36" t="s">
        <v>371</v>
      </c>
      <c r="K66" s="36" t="s">
        <v>420</v>
      </c>
      <c r="L66" s="36">
        <v>1</v>
      </c>
      <c r="M66" s="36">
        <f>L66*5</f>
        <v>5</v>
      </c>
      <c r="N66" s="36">
        <v>20</v>
      </c>
      <c r="O66" s="69" t="s">
        <v>441</v>
      </c>
      <c r="P66" s="37">
        <v>1.9900000000000001E-2</v>
      </c>
      <c r="Q66" s="37">
        <f>P66*N66</f>
        <v>0.39800000000000002</v>
      </c>
      <c r="R66" s="36"/>
      <c r="S66" s="55"/>
    </row>
    <row r="67" spans="1:19">
      <c r="A67" s="1"/>
      <c r="B67" s="46">
        <f t="shared" si="0"/>
        <v>58</v>
      </c>
      <c r="C67" s="68" t="s">
        <v>22</v>
      </c>
      <c r="D67" s="50" t="s">
        <v>86</v>
      </c>
      <c r="E67" s="50" t="s">
        <v>162</v>
      </c>
      <c r="F67" s="50" t="s">
        <v>205</v>
      </c>
      <c r="G67" s="50" t="s">
        <v>271</v>
      </c>
      <c r="H67" s="50" t="s">
        <v>288</v>
      </c>
      <c r="I67" s="50"/>
      <c r="J67" s="50" t="s">
        <v>372</v>
      </c>
      <c r="K67" s="50" t="s">
        <v>421</v>
      </c>
      <c r="L67" s="50">
        <v>1</v>
      </c>
      <c r="M67" s="50">
        <f t="shared" ref="M67" si="57">L67*5</f>
        <v>5</v>
      </c>
      <c r="N67" s="50">
        <v>20</v>
      </c>
      <c r="O67" s="69" t="s">
        <v>441</v>
      </c>
      <c r="P67" s="51">
        <v>2.53E-2</v>
      </c>
      <c r="Q67" s="51">
        <f t="shared" ref="Q67" si="58">P67*N67</f>
        <v>0.50600000000000001</v>
      </c>
      <c r="R67" s="50"/>
      <c r="S67" s="55"/>
    </row>
    <row r="68" spans="1:19">
      <c r="A68" s="1"/>
      <c r="B68" s="45">
        <f>ROW(B68) - ROW($B$9)</f>
        <v>59</v>
      </c>
      <c r="C68" s="67" t="s">
        <v>22</v>
      </c>
      <c r="D68" s="36" t="s">
        <v>87</v>
      </c>
      <c r="E68" s="36" t="s">
        <v>163</v>
      </c>
      <c r="F68" s="36" t="s">
        <v>208</v>
      </c>
      <c r="G68" s="36" t="s">
        <v>272</v>
      </c>
      <c r="H68" s="36" t="s">
        <v>288</v>
      </c>
      <c r="I68" s="36"/>
      <c r="J68" s="36" t="s">
        <v>373</v>
      </c>
      <c r="K68" s="36" t="s">
        <v>422</v>
      </c>
      <c r="L68" s="36">
        <v>2</v>
      </c>
      <c r="M68" s="36">
        <f>L68*5</f>
        <v>10</v>
      </c>
      <c r="N68" s="36">
        <v>20</v>
      </c>
      <c r="O68" s="69" t="s">
        <v>441</v>
      </c>
      <c r="P68" s="37">
        <v>3.1E-2</v>
      </c>
      <c r="Q68" s="37">
        <f>P68*N68</f>
        <v>0.62</v>
      </c>
      <c r="R68" s="36"/>
      <c r="S68" s="55"/>
    </row>
    <row r="69" spans="1:19">
      <c r="A69" s="1"/>
      <c r="B69" s="46">
        <f t="shared" si="0"/>
        <v>60</v>
      </c>
      <c r="C69" s="68" t="s">
        <v>22</v>
      </c>
      <c r="D69" s="50" t="s">
        <v>88</v>
      </c>
      <c r="E69" s="50" t="s">
        <v>164</v>
      </c>
      <c r="F69" s="50" t="s">
        <v>208</v>
      </c>
      <c r="G69" s="50" t="s">
        <v>273</v>
      </c>
      <c r="H69" s="50" t="s">
        <v>288</v>
      </c>
      <c r="I69" s="50"/>
      <c r="J69" s="50" t="s">
        <v>374</v>
      </c>
      <c r="K69" s="50" t="s">
        <v>423</v>
      </c>
      <c r="L69" s="50">
        <v>2</v>
      </c>
      <c r="M69" s="50">
        <f t="shared" ref="M69" si="59">L69*5</f>
        <v>10</v>
      </c>
      <c r="N69" s="50">
        <v>20</v>
      </c>
      <c r="O69" s="69" t="s">
        <v>441</v>
      </c>
      <c r="P69" s="51">
        <v>2.41E-2</v>
      </c>
      <c r="Q69" s="51">
        <f t="shared" ref="Q69" si="60">P69*N69</f>
        <v>0.48199999999999998</v>
      </c>
      <c r="R69" s="50"/>
      <c r="S69" s="55"/>
    </row>
    <row r="70" spans="1:19">
      <c r="A70" s="1"/>
      <c r="B70" s="45">
        <f>ROW(B70) - ROW($B$9)</f>
        <v>61</v>
      </c>
      <c r="C70" s="67" t="s">
        <v>22</v>
      </c>
      <c r="D70" s="36" t="s">
        <v>89</v>
      </c>
      <c r="E70" s="36" t="s">
        <v>165</v>
      </c>
      <c r="F70" s="36" t="s">
        <v>205</v>
      </c>
      <c r="G70" s="36" t="s">
        <v>274</v>
      </c>
      <c r="H70" s="36" t="s">
        <v>288</v>
      </c>
      <c r="I70" s="36"/>
      <c r="J70" s="36" t="s">
        <v>439</v>
      </c>
      <c r="K70" s="36" t="s">
        <v>424</v>
      </c>
      <c r="L70" s="36">
        <v>2</v>
      </c>
      <c r="M70" s="36">
        <f>L70*5</f>
        <v>10</v>
      </c>
      <c r="N70" s="36">
        <v>100</v>
      </c>
      <c r="O70" s="69" t="s">
        <v>441</v>
      </c>
      <c r="P70" s="37">
        <v>6.9999999999999999E-4</v>
      </c>
      <c r="Q70" s="37">
        <f>P70*N70</f>
        <v>6.9999999999999993E-2</v>
      </c>
      <c r="R70" s="36"/>
      <c r="S70" s="55"/>
    </row>
    <row r="71" spans="1:19">
      <c r="A71" s="1"/>
      <c r="B71" s="46">
        <f t="shared" si="0"/>
        <v>62</v>
      </c>
      <c r="C71" s="68" t="s">
        <v>23</v>
      </c>
      <c r="D71" s="80" t="s">
        <v>90</v>
      </c>
      <c r="E71" s="80" t="s">
        <v>166</v>
      </c>
      <c r="F71" s="80" t="s">
        <v>438</v>
      </c>
      <c r="G71" s="80" t="s">
        <v>211</v>
      </c>
      <c r="H71" s="80" t="s">
        <v>440</v>
      </c>
      <c r="I71" s="80" t="s">
        <v>440</v>
      </c>
      <c r="J71" s="80" t="s">
        <v>440</v>
      </c>
      <c r="K71" s="80" t="s">
        <v>440</v>
      </c>
      <c r="L71" s="80">
        <v>1</v>
      </c>
      <c r="M71" s="80">
        <f t="shared" ref="M71" si="61">L71*5</f>
        <v>5</v>
      </c>
      <c r="N71" s="80" t="s">
        <v>440</v>
      </c>
      <c r="O71" s="76" t="s">
        <v>440</v>
      </c>
      <c r="P71" s="81" t="s">
        <v>440</v>
      </c>
      <c r="Q71" s="81" t="s">
        <v>440</v>
      </c>
      <c r="R71" s="79" t="s">
        <v>443</v>
      </c>
      <c r="S71" s="55"/>
    </row>
    <row r="72" spans="1:19" ht="48">
      <c r="A72" s="1"/>
      <c r="B72" s="45">
        <f>ROW(B72) - ROW($B$9)</f>
        <v>63</v>
      </c>
      <c r="C72" s="67" t="s">
        <v>24</v>
      </c>
      <c r="D72" s="36" t="s">
        <v>91</v>
      </c>
      <c r="E72" s="36" t="s">
        <v>167</v>
      </c>
      <c r="F72" s="50" t="s">
        <v>438</v>
      </c>
      <c r="G72" s="36" t="s">
        <v>212</v>
      </c>
      <c r="H72" s="36" t="s">
        <v>300</v>
      </c>
      <c r="I72" s="36"/>
      <c r="J72" s="36" t="s">
        <v>375</v>
      </c>
      <c r="K72" s="36"/>
      <c r="L72" s="36">
        <v>2</v>
      </c>
      <c r="M72" s="36">
        <f>L72*5</f>
        <v>10</v>
      </c>
      <c r="N72" s="36">
        <v>20</v>
      </c>
      <c r="O72" s="69" t="s">
        <v>441</v>
      </c>
      <c r="P72" s="37">
        <v>2.1700000000000001E-2</v>
      </c>
      <c r="Q72" s="37">
        <f>P72*N72</f>
        <v>0.434</v>
      </c>
      <c r="R72" s="36"/>
      <c r="S72" s="55"/>
    </row>
    <row r="73" spans="1:19">
      <c r="A73" s="1"/>
      <c r="B73" s="46">
        <f t="shared" si="0"/>
        <v>64</v>
      </c>
      <c r="C73" s="68" t="s">
        <v>25</v>
      </c>
      <c r="D73" s="50" t="s">
        <v>92</v>
      </c>
      <c r="E73" s="50" t="s">
        <v>168</v>
      </c>
      <c r="F73" s="50" t="s">
        <v>213</v>
      </c>
      <c r="G73" s="50" t="s">
        <v>275</v>
      </c>
      <c r="H73" s="50" t="s">
        <v>308</v>
      </c>
      <c r="I73" s="50"/>
      <c r="J73" s="50" t="s">
        <v>376</v>
      </c>
      <c r="K73" s="50"/>
      <c r="L73" s="50">
        <v>1</v>
      </c>
      <c r="M73" s="50">
        <f t="shared" ref="M73" si="62">L73*5</f>
        <v>5</v>
      </c>
      <c r="N73" s="50">
        <v>6</v>
      </c>
      <c r="O73" s="69" t="s">
        <v>441</v>
      </c>
      <c r="P73" s="51">
        <v>2.2766999999999999</v>
      </c>
      <c r="Q73" s="51">
        <f t="shared" ref="Q73" si="63">P73*N73</f>
        <v>13.6602</v>
      </c>
      <c r="R73" s="50"/>
      <c r="S73" s="55"/>
    </row>
    <row r="74" spans="1:19">
      <c r="A74" s="1"/>
      <c r="B74" s="45">
        <f>ROW(B74) - ROW($B$9)</f>
        <v>65</v>
      </c>
      <c r="C74" s="67" t="s">
        <v>25</v>
      </c>
      <c r="D74" s="36" t="s">
        <v>93</v>
      </c>
      <c r="E74" s="36" t="s">
        <v>169</v>
      </c>
      <c r="F74" s="36" t="s">
        <v>214</v>
      </c>
      <c r="G74" s="36" t="s">
        <v>276</v>
      </c>
      <c r="H74" s="36" t="s">
        <v>309</v>
      </c>
      <c r="I74" s="36"/>
      <c r="J74" s="36" t="s">
        <v>377</v>
      </c>
      <c r="K74" s="36"/>
      <c r="L74" s="36">
        <v>1</v>
      </c>
      <c r="M74" s="36">
        <f>L74*5</f>
        <v>5</v>
      </c>
      <c r="N74" s="36">
        <v>6</v>
      </c>
      <c r="O74" s="69" t="s">
        <v>441</v>
      </c>
      <c r="P74" s="37">
        <v>1.2537</v>
      </c>
      <c r="Q74" s="37">
        <f>P74*N74</f>
        <v>7.5221999999999998</v>
      </c>
      <c r="R74" s="36"/>
      <c r="S74" s="55"/>
    </row>
    <row r="75" spans="1:19">
      <c r="A75" s="1"/>
      <c r="B75" s="46">
        <f t="shared" si="0"/>
        <v>66</v>
      </c>
      <c r="C75" s="68" t="s">
        <v>25</v>
      </c>
      <c r="D75" s="50" t="s">
        <v>94</v>
      </c>
      <c r="E75" s="50" t="s">
        <v>170</v>
      </c>
      <c r="F75" s="50" t="s">
        <v>215</v>
      </c>
      <c r="G75" s="50" t="s">
        <v>277</v>
      </c>
      <c r="H75" s="50" t="s">
        <v>308</v>
      </c>
      <c r="I75" s="50"/>
      <c r="J75" s="50" t="s">
        <v>378</v>
      </c>
      <c r="K75" s="50"/>
      <c r="L75" s="50">
        <v>4</v>
      </c>
      <c r="M75" s="50">
        <f t="shared" ref="M75" si="64">L75*5</f>
        <v>20</v>
      </c>
      <c r="N75" s="50">
        <v>21</v>
      </c>
      <c r="O75" s="69" t="s">
        <v>441</v>
      </c>
      <c r="P75" s="51">
        <v>0.72550000000000003</v>
      </c>
      <c r="Q75" s="51">
        <f t="shared" ref="Q75" si="65">P75*N75</f>
        <v>15.2355</v>
      </c>
      <c r="R75" s="50"/>
      <c r="S75" s="55"/>
    </row>
    <row r="76" spans="1:19" ht="24">
      <c r="A76" s="1"/>
      <c r="B76" s="45">
        <f>ROW(B76) - ROW($B$9)</f>
        <v>67</v>
      </c>
      <c r="C76" s="67" t="s">
        <v>25</v>
      </c>
      <c r="D76" s="36" t="s">
        <v>95</v>
      </c>
      <c r="E76" s="36" t="s">
        <v>171</v>
      </c>
      <c r="F76" s="36" t="s">
        <v>216</v>
      </c>
      <c r="G76" s="36" t="s">
        <v>278</v>
      </c>
      <c r="H76" s="36" t="s">
        <v>310</v>
      </c>
      <c r="I76" s="36"/>
      <c r="J76" s="36" t="s">
        <v>379</v>
      </c>
      <c r="K76" s="36"/>
      <c r="L76" s="36">
        <v>1</v>
      </c>
      <c r="M76" s="36">
        <f>L76*5</f>
        <v>5</v>
      </c>
      <c r="N76" s="36">
        <v>10</v>
      </c>
      <c r="O76" s="69" t="s">
        <v>441</v>
      </c>
      <c r="P76" s="37">
        <v>0.32879999999999998</v>
      </c>
      <c r="Q76" s="37">
        <f>P76*N76</f>
        <v>3.2879999999999998</v>
      </c>
      <c r="R76" s="36"/>
      <c r="S76" s="55"/>
    </row>
    <row r="77" spans="1:19">
      <c r="A77" s="1"/>
      <c r="B77" s="46">
        <f t="shared" si="0"/>
        <v>68</v>
      </c>
      <c r="C77" s="68" t="s">
        <v>25</v>
      </c>
      <c r="D77" s="50" t="s">
        <v>96</v>
      </c>
      <c r="E77" s="50" t="s">
        <v>172</v>
      </c>
      <c r="F77" s="50" t="s">
        <v>204</v>
      </c>
      <c r="G77" s="50" t="s">
        <v>279</v>
      </c>
      <c r="H77" s="50" t="s">
        <v>311</v>
      </c>
      <c r="I77" s="50"/>
      <c r="J77" s="50" t="s">
        <v>380</v>
      </c>
      <c r="K77" s="50"/>
      <c r="L77" s="50">
        <v>1</v>
      </c>
      <c r="M77" s="50">
        <f t="shared" ref="M77" si="66">L77*5</f>
        <v>5</v>
      </c>
      <c r="N77" s="50">
        <v>10</v>
      </c>
      <c r="O77" s="69" t="s">
        <v>441</v>
      </c>
      <c r="P77" s="51">
        <v>0.33800000000000002</v>
      </c>
      <c r="Q77" s="51">
        <f t="shared" ref="Q77" si="67">P77*N77</f>
        <v>3.3800000000000003</v>
      </c>
      <c r="R77" s="50"/>
      <c r="S77" s="55"/>
    </row>
    <row r="78" spans="1:19">
      <c r="A78" s="1"/>
      <c r="B78" s="45">
        <f>ROW(B78) - ROW($B$9)</f>
        <v>69</v>
      </c>
      <c r="C78" s="67" t="s">
        <v>26</v>
      </c>
      <c r="D78" s="36" t="s">
        <v>97</v>
      </c>
      <c r="E78" s="36" t="s">
        <v>173</v>
      </c>
      <c r="F78" s="36" t="s">
        <v>217</v>
      </c>
      <c r="G78" s="36" t="s">
        <v>280</v>
      </c>
      <c r="H78" s="36" t="s">
        <v>312</v>
      </c>
      <c r="I78" s="36"/>
      <c r="J78" s="36" t="s">
        <v>381</v>
      </c>
      <c r="K78" s="36"/>
      <c r="L78" s="36">
        <v>1</v>
      </c>
      <c r="M78" s="36">
        <f>L78*5</f>
        <v>5</v>
      </c>
      <c r="N78" s="36">
        <v>6</v>
      </c>
      <c r="O78" s="69" t="s">
        <v>441</v>
      </c>
      <c r="P78" s="37">
        <v>5.1721000000000004</v>
      </c>
      <c r="Q78" s="37">
        <f>P78*N78</f>
        <v>31.032600000000002</v>
      </c>
      <c r="R78" s="36"/>
      <c r="S78" s="55"/>
    </row>
    <row r="79" spans="1:19">
      <c r="A79" s="1"/>
      <c r="B79" s="46">
        <f t="shared" si="0"/>
        <v>70</v>
      </c>
      <c r="C79" s="68" t="s">
        <v>25</v>
      </c>
      <c r="D79" s="50" t="s">
        <v>98</v>
      </c>
      <c r="E79" s="50" t="s">
        <v>174</v>
      </c>
      <c r="F79" s="50" t="s">
        <v>218</v>
      </c>
      <c r="G79" s="50" t="s">
        <v>281</v>
      </c>
      <c r="H79" s="50" t="s">
        <v>313</v>
      </c>
      <c r="I79" s="50"/>
      <c r="J79" s="50" t="s">
        <v>382</v>
      </c>
      <c r="K79" s="50"/>
      <c r="L79" s="50">
        <v>1</v>
      </c>
      <c r="M79" s="50">
        <f t="shared" ref="M79" si="68">L79*5</f>
        <v>5</v>
      </c>
      <c r="N79" s="50">
        <v>6</v>
      </c>
      <c r="O79" s="69" t="s">
        <v>441</v>
      </c>
      <c r="P79" s="51">
        <v>16.753900000000002</v>
      </c>
      <c r="Q79" s="51">
        <f t="shared" ref="Q79" si="69">P79*N79</f>
        <v>100.52340000000001</v>
      </c>
      <c r="R79" s="50"/>
      <c r="S79" s="55"/>
    </row>
    <row r="80" spans="1:19">
      <c r="A80" s="1"/>
      <c r="B80" s="45">
        <f>ROW(B80) - ROW($B$9)</f>
        <v>71</v>
      </c>
      <c r="C80" s="67" t="s">
        <v>25</v>
      </c>
      <c r="D80" s="36" t="s">
        <v>99</v>
      </c>
      <c r="E80" s="36" t="s">
        <v>175</v>
      </c>
      <c r="F80" s="36" t="s">
        <v>203</v>
      </c>
      <c r="G80" s="36" t="s">
        <v>282</v>
      </c>
      <c r="H80" s="36" t="s">
        <v>314</v>
      </c>
      <c r="I80" s="36"/>
      <c r="J80" s="36" t="s">
        <v>383</v>
      </c>
      <c r="K80" s="36"/>
      <c r="L80" s="36">
        <v>1</v>
      </c>
      <c r="M80" s="36">
        <f>L80*5</f>
        <v>5</v>
      </c>
      <c r="N80" s="36">
        <v>10</v>
      </c>
      <c r="O80" s="69" t="s">
        <v>441</v>
      </c>
      <c r="P80" s="37">
        <v>0.30580000000000002</v>
      </c>
      <c r="Q80" s="37">
        <f>P80*N80</f>
        <v>3.0580000000000003</v>
      </c>
      <c r="R80" s="36"/>
      <c r="S80" s="55"/>
    </row>
    <row r="81" spans="1:19">
      <c r="A81" s="1"/>
      <c r="B81" s="46">
        <f t="shared" si="0"/>
        <v>72</v>
      </c>
      <c r="C81" s="68" t="s">
        <v>25</v>
      </c>
      <c r="D81" s="50" t="s">
        <v>100</v>
      </c>
      <c r="E81" s="50" t="s">
        <v>176</v>
      </c>
      <c r="F81" s="50" t="s">
        <v>216</v>
      </c>
      <c r="G81" s="50" t="s">
        <v>283</v>
      </c>
      <c r="H81" s="50" t="s">
        <v>315</v>
      </c>
      <c r="I81" s="50"/>
      <c r="J81" s="50" t="s">
        <v>384</v>
      </c>
      <c r="K81" s="50"/>
      <c r="L81" s="50">
        <v>2</v>
      </c>
      <c r="M81" s="50">
        <f t="shared" ref="M81" si="70">L81*5</f>
        <v>10</v>
      </c>
      <c r="N81" s="50">
        <v>15</v>
      </c>
      <c r="O81" s="69" t="s">
        <v>441</v>
      </c>
      <c r="P81" s="51">
        <v>0.34520000000000001</v>
      </c>
      <c r="Q81" s="51">
        <f t="shared" ref="Q81" si="71">P81*N81</f>
        <v>5.1779999999999999</v>
      </c>
      <c r="R81" s="50"/>
      <c r="S81" s="55"/>
    </row>
    <row r="82" spans="1:19">
      <c r="A82" s="1"/>
      <c r="B82" s="45">
        <f>ROW(B82) - ROW($B$9)</f>
        <v>73</v>
      </c>
      <c r="C82" s="67" t="s">
        <v>27</v>
      </c>
      <c r="D82" s="36" t="s">
        <v>101</v>
      </c>
      <c r="E82" s="36" t="s">
        <v>177</v>
      </c>
      <c r="F82" s="50" t="s">
        <v>438</v>
      </c>
      <c r="G82" s="36" t="s">
        <v>219</v>
      </c>
      <c r="H82" s="36" t="s">
        <v>316</v>
      </c>
      <c r="I82" s="36"/>
      <c r="J82" s="36" t="s">
        <v>385</v>
      </c>
      <c r="K82" s="36"/>
      <c r="L82" s="36">
        <v>3</v>
      </c>
      <c r="M82" s="36">
        <f>L82*5</f>
        <v>15</v>
      </c>
      <c r="N82" s="36">
        <v>16</v>
      </c>
      <c r="O82" s="69" t="s">
        <v>441</v>
      </c>
      <c r="P82" s="37">
        <v>1.7230000000000001</v>
      </c>
      <c r="Q82" s="37">
        <f>P82*N82</f>
        <v>27.568000000000001</v>
      </c>
      <c r="R82" s="36"/>
      <c r="S82" s="55"/>
    </row>
    <row r="83" spans="1:19">
      <c r="A83" s="1"/>
      <c r="B83" s="46">
        <f t="shared" si="0"/>
        <v>74</v>
      </c>
      <c r="C83" s="68" t="s">
        <v>25</v>
      </c>
      <c r="D83" s="50" t="s">
        <v>102</v>
      </c>
      <c r="E83" s="50" t="s">
        <v>178</v>
      </c>
      <c r="F83" s="50" t="s">
        <v>220</v>
      </c>
      <c r="G83" s="50" t="s">
        <v>284</v>
      </c>
      <c r="H83" s="50" t="s">
        <v>308</v>
      </c>
      <c r="I83" s="50"/>
      <c r="J83" s="50" t="s">
        <v>386</v>
      </c>
      <c r="K83" s="50"/>
      <c r="L83" s="50">
        <v>1</v>
      </c>
      <c r="M83" s="50">
        <f t="shared" ref="M83" si="72">L83*5</f>
        <v>5</v>
      </c>
      <c r="N83" s="50">
        <v>6</v>
      </c>
      <c r="O83" s="69" t="s">
        <v>441</v>
      </c>
      <c r="P83" s="51">
        <v>1.0660000000000001</v>
      </c>
      <c r="Q83" s="51">
        <f t="shared" ref="Q83" si="73">P83*N83</f>
        <v>6.3960000000000008</v>
      </c>
      <c r="R83" s="50"/>
      <c r="S83" s="55"/>
    </row>
    <row r="84" spans="1:19">
      <c r="A84" s="1"/>
      <c r="B84" s="45">
        <f>ROW(B84) - ROW($B$9)</f>
        <v>75</v>
      </c>
      <c r="C84" s="67" t="s">
        <v>25</v>
      </c>
      <c r="D84" s="36" t="s">
        <v>103</v>
      </c>
      <c r="E84" s="36" t="s">
        <v>179</v>
      </c>
      <c r="F84" s="36" t="s">
        <v>221</v>
      </c>
      <c r="G84" s="36" t="s">
        <v>285</v>
      </c>
      <c r="H84" s="36" t="s">
        <v>317</v>
      </c>
      <c r="I84" s="36"/>
      <c r="J84" s="36" t="s">
        <v>387</v>
      </c>
      <c r="K84" s="36"/>
      <c r="L84" s="36">
        <v>1</v>
      </c>
      <c r="M84" s="36">
        <f>L84*5</f>
        <v>5</v>
      </c>
      <c r="N84" s="36"/>
      <c r="O84" s="36"/>
      <c r="P84" s="37"/>
      <c r="Q84" s="37">
        <f>P84*N84</f>
        <v>0</v>
      </c>
      <c r="R84" s="36"/>
      <c r="S84" s="55"/>
    </row>
    <row r="85" spans="1:19" ht="24.75" thickBot="1">
      <c r="A85" s="1"/>
      <c r="B85" s="46">
        <f t="shared" si="0"/>
        <v>76</v>
      </c>
      <c r="C85" s="68" t="s">
        <v>28</v>
      </c>
      <c r="D85" s="50" t="s">
        <v>104</v>
      </c>
      <c r="E85" s="50" t="s">
        <v>180</v>
      </c>
      <c r="F85" s="50" t="s">
        <v>438</v>
      </c>
      <c r="G85" s="50" t="s">
        <v>286</v>
      </c>
      <c r="H85" s="50" t="s">
        <v>318</v>
      </c>
      <c r="I85" s="50"/>
      <c r="J85" s="50" t="s">
        <v>388</v>
      </c>
      <c r="K85" s="50" t="s">
        <v>425</v>
      </c>
      <c r="L85" s="50">
        <v>1</v>
      </c>
      <c r="M85" s="50">
        <f t="shared" ref="M85" si="74">L85*5</f>
        <v>5</v>
      </c>
      <c r="N85" s="50">
        <v>6</v>
      </c>
      <c r="O85" s="69" t="s">
        <v>441</v>
      </c>
      <c r="P85" s="51">
        <v>0.1152</v>
      </c>
      <c r="Q85" s="51">
        <f t="shared" ref="Q85" si="75">P85*N85</f>
        <v>0.69120000000000004</v>
      </c>
      <c r="R85" s="50"/>
      <c r="S85" s="38"/>
    </row>
    <row r="86" spans="1:19" ht="19.5" thickBot="1">
      <c r="A86" s="1"/>
      <c r="B86" s="39"/>
      <c r="C86" s="40"/>
      <c r="D86" s="41"/>
      <c r="E86" s="42"/>
      <c r="F86" s="43"/>
      <c r="G86" s="44"/>
      <c r="H86" s="43"/>
      <c r="I86" s="44"/>
      <c r="J86" s="43"/>
      <c r="K86" s="44"/>
      <c r="L86" s="44"/>
      <c r="M86" s="44"/>
      <c r="N86" s="64" t="s">
        <v>5</v>
      </c>
      <c r="O86" s="65"/>
      <c r="P86" s="65"/>
      <c r="Q86" s="47">
        <f>SUM(Q10:Q85)</f>
        <v>301.16679999999991</v>
      </c>
      <c r="R86" s="60"/>
      <c r="S86" s="61"/>
    </row>
    <row r="87" spans="1:19" ht="19.5" thickBot="1">
      <c r="A87" s="1"/>
      <c r="B87" s="25"/>
      <c r="C87" s="35"/>
      <c r="D87" s="9"/>
      <c r="E87" s="10"/>
      <c r="F87" s="10"/>
      <c r="G87" s="10"/>
      <c r="H87" s="10"/>
      <c r="I87" s="10"/>
      <c r="J87" s="10"/>
      <c r="K87" s="10"/>
      <c r="L87" s="10"/>
      <c r="M87" s="10"/>
      <c r="N87" s="64" t="s">
        <v>6</v>
      </c>
      <c r="O87" s="65"/>
      <c r="P87" s="65"/>
      <c r="Q87" s="48">
        <f>Q86/5</f>
        <v>60.233359999999983</v>
      </c>
      <c r="R87" s="62"/>
      <c r="S87" s="63"/>
    </row>
  </sheetData>
  <mergeCells count="5">
    <mergeCell ref="K1:S1"/>
    <mergeCell ref="S3:S8"/>
    <mergeCell ref="R86:S87"/>
    <mergeCell ref="N86:P86"/>
    <mergeCell ref="N87:P87"/>
  </mergeCells>
  <hyperlinks>
    <hyperlink ref="O10" r:id="rId1"/>
    <hyperlink ref="O11" r:id="rId2"/>
    <hyperlink ref="O12" r:id="rId3"/>
    <hyperlink ref="O13" r:id="rId4"/>
    <hyperlink ref="O14" r:id="rId5"/>
    <hyperlink ref="O15" r:id="rId6"/>
    <hyperlink ref="O16" r:id="rId7"/>
    <hyperlink ref="O17" r:id="rId8"/>
    <hyperlink ref="O18" r:id="rId9"/>
    <hyperlink ref="O19" r:id="rId10"/>
    <hyperlink ref="O20" r:id="rId11"/>
    <hyperlink ref="O21" r:id="rId12"/>
    <hyperlink ref="O22" r:id="rId13"/>
    <hyperlink ref="O23" r:id="rId14"/>
    <hyperlink ref="O24" r:id="rId15"/>
    <hyperlink ref="O25" r:id="rId16"/>
    <hyperlink ref="O26" r:id="rId17"/>
    <hyperlink ref="O27" r:id="rId18"/>
    <hyperlink ref="O28" r:id="rId19"/>
    <hyperlink ref="O29" r:id="rId20"/>
    <hyperlink ref="O30" r:id="rId21"/>
    <hyperlink ref="O31" r:id="rId22"/>
    <hyperlink ref="O32" r:id="rId23"/>
    <hyperlink ref="O33" r:id="rId24"/>
    <hyperlink ref="O34" r:id="rId25"/>
    <hyperlink ref="O35" r:id="rId26"/>
    <hyperlink ref="O36" r:id="rId27"/>
    <hyperlink ref="O37" r:id="rId28"/>
    <hyperlink ref="O38" r:id="rId29"/>
    <hyperlink ref="O39" r:id="rId30"/>
    <hyperlink ref="O40" r:id="rId31"/>
    <hyperlink ref="O41" r:id="rId32"/>
    <hyperlink ref="O43" r:id="rId33"/>
    <hyperlink ref="O44" r:id="rId34"/>
    <hyperlink ref="O45" r:id="rId35"/>
    <hyperlink ref="O46" r:id="rId36"/>
    <hyperlink ref="O47" r:id="rId37"/>
    <hyperlink ref="O48" r:id="rId38"/>
    <hyperlink ref="O49" r:id="rId39"/>
    <hyperlink ref="O50" r:id="rId40"/>
    <hyperlink ref="O51" r:id="rId41"/>
    <hyperlink ref="O52" r:id="rId42"/>
    <hyperlink ref="O54" r:id="rId43"/>
    <hyperlink ref="O55" r:id="rId44"/>
    <hyperlink ref="O56" r:id="rId45"/>
    <hyperlink ref="O57" r:id="rId46"/>
    <hyperlink ref="O58" r:id="rId47"/>
    <hyperlink ref="O59" r:id="rId48"/>
    <hyperlink ref="O60" r:id="rId49"/>
    <hyperlink ref="O61" r:id="rId50"/>
    <hyperlink ref="O62" r:id="rId51"/>
    <hyperlink ref="O63" r:id="rId52"/>
    <hyperlink ref="O65" r:id="rId53"/>
    <hyperlink ref="O66" r:id="rId54"/>
    <hyperlink ref="O67" r:id="rId55"/>
    <hyperlink ref="O68" r:id="rId56"/>
    <hyperlink ref="O69" r:id="rId57"/>
    <hyperlink ref="O70" r:id="rId58"/>
    <hyperlink ref="O72" r:id="rId59"/>
    <hyperlink ref="O73" r:id="rId60"/>
    <hyperlink ref="O74" r:id="rId61"/>
    <hyperlink ref="O75" r:id="rId62"/>
    <hyperlink ref="O76" r:id="rId63"/>
    <hyperlink ref="O77" r:id="rId64"/>
    <hyperlink ref="O78" r:id="rId65"/>
    <hyperlink ref="O79" r:id="rId66"/>
    <hyperlink ref="O80" r:id="rId67"/>
    <hyperlink ref="O81" r:id="rId68"/>
    <hyperlink ref="O82" r:id="rId69"/>
    <hyperlink ref="O83" r:id="rId70"/>
    <hyperlink ref="O85" r:id="rId71"/>
    <hyperlink ref="O53" r:id="rId72"/>
  </hyperlinks>
  <pageMargins left="0.7" right="0.7" top="0.75" bottom="0.75" header="0.3" footer="0.3"/>
  <pageSetup paperSize="9" orientation="portrait" r:id="rId73"/>
  <drawing r:id="rId7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2023-11-29T15:36:06Z</dcterms:modified>
</cp:coreProperties>
</file>